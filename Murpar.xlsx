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EKHAR\Downloads\"/>
    </mc:Choice>
  </mc:AlternateContent>
  <xr:revisionPtr revIDLastSave="0" documentId="13_ncr:1_{237C8FE6-121F-4F3B-9A69-E8B05ECCFB85}" xr6:coauthVersionLast="47" xr6:coauthVersionMax="47" xr10:uidLastSave="{00000000-0000-0000-0000-000000000000}"/>
  <bookViews>
    <workbookView xWindow="-110" yWindow="-110" windowWidth="19420" windowHeight="11500" tabRatio="602" xr2:uid="{00000000-000D-0000-FFFF-FFFF00000000}"/>
  </bookViews>
  <sheets>
    <sheet name="DPR" sheetId="1" r:id="rId1"/>
  </sheets>
  <definedNames>
    <definedName name="_xlnm.Print_Area" localSheetId="0">DPR!$A$1:$S$6,DPR!#REF!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2" i="1" l="1"/>
  <c r="B245" i="1"/>
  <c r="D244" i="1"/>
  <c r="D243" i="1"/>
  <c r="I242" i="1"/>
  <c r="D242" i="1"/>
  <c r="B235" i="1"/>
  <c r="D234" i="1"/>
  <c r="D233" i="1"/>
  <c r="D232" i="1"/>
  <c r="B225" i="1"/>
  <c r="D224" i="1"/>
  <c r="D223" i="1"/>
  <c r="D225" i="1" s="1"/>
  <c r="D222" i="1"/>
  <c r="B215" i="1"/>
  <c r="D214" i="1"/>
  <c r="D213" i="1"/>
  <c r="D212" i="1"/>
  <c r="D202" i="1"/>
  <c r="D203" i="1"/>
  <c r="D204" i="1"/>
  <c r="B205" i="1"/>
  <c r="B195" i="1"/>
  <c r="D194" i="1"/>
  <c r="D193" i="1"/>
  <c r="D192" i="1"/>
  <c r="D195" i="1" s="1"/>
  <c r="B185" i="1"/>
  <c r="D184" i="1"/>
  <c r="D185" i="1" s="1"/>
  <c r="D183" i="1"/>
  <c r="D182" i="1"/>
  <c r="B175" i="1"/>
  <c r="D174" i="1"/>
  <c r="D173" i="1"/>
  <c r="D172" i="1"/>
  <c r="B165" i="1"/>
  <c r="D164" i="1"/>
  <c r="D163" i="1"/>
  <c r="D162" i="1"/>
  <c r="D165" i="1" s="1"/>
  <c r="B155" i="1"/>
  <c r="D154" i="1"/>
  <c r="D153" i="1"/>
  <c r="D152" i="1"/>
  <c r="B145" i="1"/>
  <c r="D144" i="1"/>
  <c r="D143" i="1"/>
  <c r="D142" i="1"/>
  <c r="B135" i="1"/>
  <c r="D134" i="1"/>
  <c r="D133" i="1"/>
  <c r="D132" i="1"/>
  <c r="B125" i="1"/>
  <c r="D124" i="1"/>
  <c r="D123" i="1"/>
  <c r="D122" i="1"/>
  <c r="B115" i="1"/>
  <c r="D114" i="1"/>
  <c r="D113" i="1"/>
  <c r="D112" i="1"/>
  <c r="B105" i="1"/>
  <c r="D104" i="1"/>
  <c r="D103" i="1"/>
  <c r="D102" i="1"/>
  <c r="D93" i="1"/>
  <c r="D94" i="1"/>
  <c r="D92" i="1"/>
  <c r="B95" i="1"/>
  <c r="F12" i="1"/>
  <c r="E22" i="1" s="1"/>
  <c r="F22" i="1" s="1"/>
  <c r="E32" i="1" s="1"/>
  <c r="F32" i="1" s="1"/>
  <c r="E42" i="1" s="1"/>
  <c r="F42" i="1" s="1"/>
  <c r="E52" i="1" s="1"/>
  <c r="F52" i="1" s="1"/>
  <c r="E62" i="1" s="1"/>
  <c r="F62" i="1" s="1"/>
  <c r="E72" i="1" s="1"/>
  <c r="F72" i="1" s="1"/>
  <c r="E82" i="1" s="1"/>
  <c r="F82" i="1" s="1"/>
  <c r="E92" i="1" s="1"/>
  <c r="I13" i="1"/>
  <c r="J13" i="1" s="1"/>
  <c r="I23" i="1" s="1"/>
  <c r="J23" i="1" s="1"/>
  <c r="I33" i="1" s="1"/>
  <c r="J33" i="1" s="1"/>
  <c r="I43" i="1" s="1"/>
  <c r="J43" i="1" s="1"/>
  <c r="I53" i="1" s="1"/>
  <c r="J53" i="1" s="1"/>
  <c r="I63" i="1" s="1"/>
  <c r="J63" i="1" s="1"/>
  <c r="I73" i="1" s="1"/>
  <c r="J73" i="1" s="1"/>
  <c r="I83" i="1" s="1"/>
  <c r="J83" i="1" s="1"/>
  <c r="I93" i="1" s="1"/>
  <c r="I14" i="1"/>
  <c r="J14" i="1" s="1"/>
  <c r="I24" i="1" s="1"/>
  <c r="J24" i="1" s="1"/>
  <c r="I34" i="1" s="1"/>
  <c r="J34" i="1" s="1"/>
  <c r="I44" i="1" s="1"/>
  <c r="J44" i="1" s="1"/>
  <c r="I54" i="1" s="1"/>
  <c r="J54" i="1" s="1"/>
  <c r="I64" i="1" s="1"/>
  <c r="J64" i="1" s="1"/>
  <c r="I74" i="1" s="1"/>
  <c r="J74" i="1" s="1"/>
  <c r="I84" i="1" s="1"/>
  <c r="J84" i="1" s="1"/>
  <c r="I94" i="1" s="1"/>
  <c r="I12" i="1"/>
  <c r="J12" i="1" s="1"/>
  <c r="I22" i="1" s="1"/>
  <c r="J22" i="1" s="1"/>
  <c r="I32" i="1" s="1"/>
  <c r="J32" i="1" s="1"/>
  <c r="I42" i="1" s="1"/>
  <c r="J42" i="1" s="1"/>
  <c r="I52" i="1" s="1"/>
  <c r="J52" i="1" s="1"/>
  <c r="I62" i="1" s="1"/>
  <c r="J62" i="1" s="1"/>
  <c r="I72" i="1" s="1"/>
  <c r="J72" i="1" s="1"/>
  <c r="I82" i="1" s="1"/>
  <c r="J82" i="1" s="1"/>
  <c r="I92" i="1" s="1"/>
  <c r="G13" i="1"/>
  <c r="H13" i="1" s="1"/>
  <c r="G23" i="1" s="1"/>
  <c r="H23" i="1" s="1"/>
  <c r="G33" i="1" s="1"/>
  <c r="H33" i="1" s="1"/>
  <c r="G43" i="1" s="1"/>
  <c r="H43" i="1" s="1"/>
  <c r="G53" i="1" s="1"/>
  <c r="H53" i="1" s="1"/>
  <c r="G63" i="1" s="1"/>
  <c r="H63" i="1" s="1"/>
  <c r="G73" i="1" s="1"/>
  <c r="H73" i="1" s="1"/>
  <c r="G83" i="1" s="1"/>
  <c r="H83" i="1" s="1"/>
  <c r="G93" i="1" s="1"/>
  <c r="G14" i="1"/>
  <c r="H14" i="1" s="1"/>
  <c r="G24" i="1" s="1"/>
  <c r="H24" i="1" s="1"/>
  <c r="G34" i="1" s="1"/>
  <c r="H34" i="1" s="1"/>
  <c r="G44" i="1" s="1"/>
  <c r="H44" i="1" s="1"/>
  <c r="G54" i="1" s="1"/>
  <c r="H54" i="1" s="1"/>
  <c r="G64" i="1" s="1"/>
  <c r="H64" i="1" s="1"/>
  <c r="G74" i="1" s="1"/>
  <c r="H74" i="1" s="1"/>
  <c r="G84" i="1" s="1"/>
  <c r="H84" i="1" s="1"/>
  <c r="G94" i="1" s="1"/>
  <c r="H94" i="1" s="1"/>
  <c r="G104" i="1" s="1"/>
  <c r="G12" i="1"/>
  <c r="H12" i="1" s="1"/>
  <c r="G22" i="1" s="1"/>
  <c r="H22" i="1" s="1"/>
  <c r="G32" i="1" s="1"/>
  <c r="H32" i="1" s="1"/>
  <c r="G42" i="1" s="1"/>
  <c r="H42" i="1" s="1"/>
  <c r="G52" i="1" s="1"/>
  <c r="H52" i="1" s="1"/>
  <c r="G62" i="1" s="1"/>
  <c r="H62" i="1" s="1"/>
  <c r="G72" i="1" s="1"/>
  <c r="H72" i="1" s="1"/>
  <c r="G82" i="1" s="1"/>
  <c r="H82" i="1" s="1"/>
  <c r="G92" i="1" s="1"/>
  <c r="G95" i="1" s="1"/>
  <c r="E13" i="1"/>
  <c r="F13" i="1" s="1"/>
  <c r="E23" i="1" s="1"/>
  <c r="F23" i="1" s="1"/>
  <c r="E33" i="1" s="1"/>
  <c r="F33" i="1" s="1"/>
  <c r="E43" i="1" s="1"/>
  <c r="F43" i="1" s="1"/>
  <c r="E53" i="1" s="1"/>
  <c r="F53" i="1" s="1"/>
  <c r="E63" i="1" s="1"/>
  <c r="F63" i="1" s="1"/>
  <c r="E73" i="1" s="1"/>
  <c r="F73" i="1" s="1"/>
  <c r="E83" i="1" s="1"/>
  <c r="F83" i="1" s="1"/>
  <c r="E93" i="1" s="1"/>
  <c r="F93" i="1" s="1"/>
  <c r="E103" i="1" s="1"/>
  <c r="F103" i="1" s="1"/>
  <c r="E113" i="1" s="1"/>
  <c r="E14" i="1"/>
  <c r="F14" i="1" s="1"/>
  <c r="E24" i="1" s="1"/>
  <c r="F24" i="1" s="1"/>
  <c r="E34" i="1" s="1"/>
  <c r="F34" i="1" s="1"/>
  <c r="E44" i="1" s="1"/>
  <c r="F44" i="1" s="1"/>
  <c r="E54" i="1" s="1"/>
  <c r="F54" i="1" s="1"/>
  <c r="E64" i="1" s="1"/>
  <c r="F64" i="1" s="1"/>
  <c r="E74" i="1" s="1"/>
  <c r="F74" i="1" s="1"/>
  <c r="E84" i="1" s="1"/>
  <c r="F84" i="1" s="1"/>
  <c r="E94" i="1" s="1"/>
  <c r="E12" i="1"/>
  <c r="D245" i="1" l="1"/>
  <c r="D205" i="1"/>
  <c r="D235" i="1"/>
  <c r="F234" i="1"/>
  <c r="E244" i="1" s="1"/>
  <c r="F244" i="1" s="1"/>
  <c r="D215" i="1"/>
  <c r="D175" i="1"/>
  <c r="H174" i="1"/>
  <c r="G184" i="1" s="1"/>
  <c r="H184" i="1" s="1"/>
  <c r="G194" i="1" s="1"/>
  <c r="H194" i="1" s="1"/>
  <c r="G204" i="1" s="1"/>
  <c r="H204" i="1" s="1"/>
  <c r="G214" i="1" s="1"/>
  <c r="H214" i="1" s="1"/>
  <c r="G224" i="1" s="1"/>
  <c r="H224" i="1" s="1"/>
  <c r="G234" i="1" s="1"/>
  <c r="H234" i="1" s="1"/>
  <c r="G244" i="1" s="1"/>
  <c r="H244" i="1" s="1"/>
  <c r="D155" i="1"/>
  <c r="D145" i="1"/>
  <c r="F133" i="1"/>
  <c r="E143" i="1" s="1"/>
  <c r="F143" i="1" s="1"/>
  <c r="E153" i="1" s="1"/>
  <c r="F153" i="1" s="1"/>
  <c r="E163" i="1" s="1"/>
  <c r="F163" i="1" s="1"/>
  <c r="E173" i="1" s="1"/>
  <c r="F173" i="1" s="1"/>
  <c r="E183" i="1" s="1"/>
  <c r="F183" i="1" s="1"/>
  <c r="E193" i="1" s="1"/>
  <c r="F193" i="1" s="1"/>
  <c r="E203" i="1" s="1"/>
  <c r="F203" i="1" s="1"/>
  <c r="E213" i="1" s="1"/>
  <c r="F213" i="1" s="1"/>
  <c r="E223" i="1" s="1"/>
  <c r="F223" i="1" s="1"/>
  <c r="E233" i="1" s="1"/>
  <c r="F233" i="1" s="1"/>
  <c r="E243" i="1" s="1"/>
  <c r="F243" i="1" s="1"/>
  <c r="D125" i="1"/>
  <c r="D135" i="1"/>
  <c r="J123" i="1"/>
  <c r="I133" i="1" s="1"/>
  <c r="J133" i="1" s="1"/>
  <c r="I143" i="1" s="1"/>
  <c r="J143" i="1" s="1"/>
  <c r="I153" i="1" s="1"/>
  <c r="J153" i="1" s="1"/>
  <c r="I163" i="1" s="1"/>
  <c r="J163" i="1" s="1"/>
  <c r="I173" i="1" s="1"/>
  <c r="J173" i="1" s="1"/>
  <c r="I183" i="1" s="1"/>
  <c r="J183" i="1" s="1"/>
  <c r="I193" i="1" s="1"/>
  <c r="J193" i="1" s="1"/>
  <c r="I203" i="1" s="1"/>
  <c r="J203" i="1" s="1"/>
  <c r="I213" i="1" s="1"/>
  <c r="J213" i="1" s="1"/>
  <c r="I223" i="1" s="1"/>
  <c r="J223" i="1" s="1"/>
  <c r="I233" i="1" s="1"/>
  <c r="J233" i="1" s="1"/>
  <c r="I243" i="1" s="1"/>
  <c r="J243" i="1" s="1"/>
  <c r="F113" i="1"/>
  <c r="E123" i="1" s="1"/>
  <c r="F123" i="1" s="1"/>
  <c r="E133" i="1" s="1"/>
  <c r="D115" i="1"/>
  <c r="H113" i="1"/>
  <c r="G123" i="1" s="1"/>
  <c r="H123" i="1" s="1"/>
  <c r="G133" i="1" s="1"/>
  <c r="H133" i="1" s="1"/>
  <c r="G143" i="1" s="1"/>
  <c r="H143" i="1" s="1"/>
  <c r="G153" i="1" s="1"/>
  <c r="H153" i="1" s="1"/>
  <c r="G163" i="1" s="1"/>
  <c r="H163" i="1" s="1"/>
  <c r="G173" i="1" s="1"/>
  <c r="H173" i="1" s="1"/>
  <c r="G183" i="1" s="1"/>
  <c r="H183" i="1" s="1"/>
  <c r="G193" i="1" s="1"/>
  <c r="H193" i="1" s="1"/>
  <c r="G203" i="1" s="1"/>
  <c r="H203" i="1" s="1"/>
  <c r="G213" i="1" s="1"/>
  <c r="H213" i="1" s="1"/>
  <c r="G223" i="1" s="1"/>
  <c r="H223" i="1" s="1"/>
  <c r="G233" i="1" s="1"/>
  <c r="H233" i="1" s="1"/>
  <c r="G243" i="1" s="1"/>
  <c r="H243" i="1" s="1"/>
  <c r="J94" i="1"/>
  <c r="I104" i="1" s="1"/>
  <c r="J104" i="1" s="1"/>
  <c r="I114" i="1" s="1"/>
  <c r="J114" i="1" s="1"/>
  <c r="I124" i="1" s="1"/>
  <c r="J124" i="1" s="1"/>
  <c r="I134" i="1" s="1"/>
  <c r="J134" i="1" s="1"/>
  <c r="I144" i="1" s="1"/>
  <c r="J144" i="1" s="1"/>
  <c r="I154" i="1" s="1"/>
  <c r="J154" i="1" s="1"/>
  <c r="I164" i="1" s="1"/>
  <c r="J164" i="1" s="1"/>
  <c r="I174" i="1" s="1"/>
  <c r="J174" i="1" s="1"/>
  <c r="I184" i="1" s="1"/>
  <c r="J184" i="1" s="1"/>
  <c r="I194" i="1" s="1"/>
  <c r="J194" i="1" s="1"/>
  <c r="I204" i="1" s="1"/>
  <c r="J204" i="1" s="1"/>
  <c r="I214" i="1" s="1"/>
  <c r="J214" i="1" s="1"/>
  <c r="I224" i="1" s="1"/>
  <c r="J224" i="1" s="1"/>
  <c r="I234" i="1" s="1"/>
  <c r="J234" i="1" s="1"/>
  <c r="I244" i="1" s="1"/>
  <c r="J244" i="1" s="1"/>
  <c r="F94" i="1"/>
  <c r="E104" i="1" s="1"/>
  <c r="F104" i="1"/>
  <c r="E114" i="1" s="1"/>
  <c r="F114" i="1" s="1"/>
  <c r="E124" i="1" s="1"/>
  <c r="F124" i="1" s="1"/>
  <c r="E134" i="1" s="1"/>
  <c r="F134" i="1" s="1"/>
  <c r="E144" i="1" s="1"/>
  <c r="F144" i="1" s="1"/>
  <c r="E154" i="1" s="1"/>
  <c r="F154" i="1" s="1"/>
  <c r="E164" i="1" s="1"/>
  <c r="F164" i="1" s="1"/>
  <c r="E174" i="1" s="1"/>
  <c r="F174" i="1" s="1"/>
  <c r="E184" i="1" s="1"/>
  <c r="F184" i="1" s="1"/>
  <c r="E194" i="1" s="1"/>
  <c r="F194" i="1" s="1"/>
  <c r="E204" i="1" s="1"/>
  <c r="F204" i="1" s="1"/>
  <c r="E214" i="1" s="1"/>
  <c r="F214" i="1" s="1"/>
  <c r="E224" i="1" s="1"/>
  <c r="F224" i="1" s="1"/>
  <c r="E234" i="1" s="1"/>
  <c r="D105" i="1"/>
  <c r="H104" i="1"/>
  <c r="G114" i="1" s="1"/>
  <c r="H114" i="1" s="1"/>
  <c r="G124" i="1" s="1"/>
  <c r="H124" i="1" s="1"/>
  <c r="G134" i="1" s="1"/>
  <c r="H134" i="1" s="1"/>
  <c r="G144" i="1" s="1"/>
  <c r="H144" i="1" s="1"/>
  <c r="G154" i="1" s="1"/>
  <c r="H154" i="1" s="1"/>
  <c r="G164" i="1" s="1"/>
  <c r="H164" i="1" s="1"/>
  <c r="G174" i="1" s="1"/>
  <c r="D95" i="1"/>
  <c r="F92" i="1"/>
  <c r="E102" i="1" s="1"/>
  <c r="F102" i="1" s="1"/>
  <c r="E95" i="1"/>
  <c r="H93" i="1"/>
  <c r="G103" i="1" s="1"/>
  <c r="H103" i="1" s="1"/>
  <c r="G113" i="1" s="1"/>
  <c r="J93" i="1"/>
  <c r="I103" i="1" s="1"/>
  <c r="J103" i="1" s="1"/>
  <c r="I113" i="1" s="1"/>
  <c r="J113" i="1" s="1"/>
  <c r="I123" i="1" s="1"/>
  <c r="H92" i="1"/>
  <c r="G102" i="1" s="1"/>
  <c r="G105" i="1" s="1"/>
  <c r="J92" i="1"/>
  <c r="I102" i="1" s="1"/>
  <c r="J102" i="1" s="1"/>
  <c r="I112" i="1" s="1"/>
  <c r="J112" i="1" s="1"/>
  <c r="I122" i="1" s="1"/>
  <c r="J122" i="1" s="1"/>
  <c r="I132" i="1" s="1"/>
  <c r="J132" i="1" s="1"/>
  <c r="I142" i="1" s="1"/>
  <c r="J142" i="1" s="1"/>
  <c r="I152" i="1" s="1"/>
  <c r="J152" i="1" s="1"/>
  <c r="I162" i="1" s="1"/>
  <c r="J162" i="1" s="1"/>
  <c r="I172" i="1" s="1"/>
  <c r="J172" i="1" s="1"/>
  <c r="I182" i="1" s="1"/>
  <c r="J182" i="1" s="1"/>
  <c r="I192" i="1" s="1"/>
  <c r="J192" i="1" s="1"/>
  <c r="I202" i="1" s="1"/>
  <c r="J202" i="1" s="1"/>
  <c r="I212" i="1" s="1"/>
  <c r="J212" i="1" s="1"/>
  <c r="I222" i="1" s="1"/>
  <c r="J222" i="1" s="1"/>
  <c r="I232" i="1" s="1"/>
  <c r="F105" i="1" l="1"/>
  <c r="E112" i="1"/>
  <c r="E105" i="1"/>
  <c r="H102" i="1"/>
  <c r="H95" i="1"/>
  <c r="F95" i="1"/>
  <c r="H105" i="1" l="1"/>
  <c r="G112" i="1"/>
  <c r="F112" i="1"/>
  <c r="E115" i="1"/>
  <c r="F115" i="1" l="1"/>
  <c r="E122" i="1"/>
  <c r="G115" i="1"/>
  <c r="H112" i="1"/>
  <c r="H115" i="1" l="1"/>
  <c r="G122" i="1"/>
  <c r="E125" i="1"/>
  <c r="F122" i="1"/>
  <c r="F125" i="1" l="1"/>
  <c r="E132" i="1"/>
  <c r="G125" i="1"/>
  <c r="H122" i="1"/>
  <c r="H125" i="1" l="1"/>
  <c r="G132" i="1"/>
  <c r="F132" i="1"/>
  <c r="E135" i="1"/>
  <c r="F135" i="1" l="1"/>
  <c r="E142" i="1"/>
  <c r="H132" i="1"/>
  <c r="G135" i="1"/>
  <c r="H135" i="1" l="1"/>
  <c r="G142" i="1"/>
  <c r="E145" i="1"/>
  <c r="F142" i="1"/>
  <c r="F145" i="1" l="1"/>
  <c r="E152" i="1"/>
  <c r="G145" i="1"/>
  <c r="H142" i="1"/>
  <c r="H145" i="1" l="1"/>
  <c r="G152" i="1"/>
  <c r="F152" i="1"/>
  <c r="E155" i="1"/>
  <c r="F155" i="1" l="1"/>
  <c r="E162" i="1"/>
  <c r="G155" i="1"/>
  <c r="H152" i="1"/>
  <c r="H155" i="1" l="1"/>
  <c r="G162" i="1"/>
  <c r="F162" i="1"/>
  <c r="E165" i="1"/>
  <c r="F165" i="1" l="1"/>
  <c r="E172" i="1"/>
  <c r="G165" i="1"/>
  <c r="H162" i="1"/>
  <c r="H165" i="1" l="1"/>
  <c r="G172" i="1"/>
  <c r="F172" i="1"/>
  <c r="E175" i="1"/>
  <c r="F175" i="1" l="1"/>
  <c r="E182" i="1"/>
  <c r="H172" i="1"/>
  <c r="G175" i="1"/>
  <c r="F182" i="1" l="1"/>
  <c r="E185" i="1"/>
  <c r="H175" i="1"/>
  <c r="G182" i="1"/>
  <c r="F185" i="1" l="1"/>
  <c r="E192" i="1"/>
  <c r="G185" i="1"/>
  <c r="H182" i="1"/>
  <c r="E195" i="1" l="1"/>
  <c r="F192" i="1"/>
  <c r="E202" i="1" s="1"/>
  <c r="H185" i="1"/>
  <c r="G192" i="1"/>
  <c r="E205" i="1" l="1"/>
  <c r="F202" i="1"/>
  <c r="F195" i="1"/>
  <c r="G195" i="1"/>
  <c r="H192" i="1"/>
  <c r="G202" i="1" s="1"/>
  <c r="G205" i="1" l="1"/>
  <c r="H202" i="1"/>
  <c r="E212" i="1"/>
  <c r="F205" i="1"/>
  <c r="H195" i="1"/>
  <c r="F212" i="1" l="1"/>
  <c r="E215" i="1"/>
  <c r="G212" i="1"/>
  <c r="H205" i="1"/>
  <c r="F215" i="1" l="1"/>
  <c r="E222" i="1"/>
  <c r="G215" i="1"/>
  <c r="H212" i="1"/>
  <c r="H215" i="1" l="1"/>
  <c r="G222" i="1"/>
  <c r="F222" i="1"/>
  <c r="E225" i="1"/>
  <c r="F225" i="1" l="1"/>
  <c r="E232" i="1"/>
  <c r="G225" i="1"/>
  <c r="H222" i="1"/>
  <c r="H225" i="1" l="1"/>
  <c r="G232" i="1"/>
  <c r="E235" i="1"/>
  <c r="F232" i="1"/>
  <c r="F235" i="1" l="1"/>
  <c r="E242" i="1"/>
  <c r="G235" i="1"/>
  <c r="H232" i="1"/>
  <c r="E245" i="1" l="1"/>
  <c r="F242" i="1"/>
  <c r="F245" i="1" s="1"/>
  <c r="H235" i="1"/>
  <c r="G242" i="1"/>
  <c r="G245" i="1" l="1"/>
  <c r="H242" i="1"/>
  <c r="H245" i="1" s="1"/>
</calcChain>
</file>

<file path=xl/sharedStrings.xml><?xml version="1.0" encoding="utf-8"?>
<sst xmlns="http://schemas.openxmlformats.org/spreadsheetml/2006/main" count="883" uniqueCount="103">
  <si>
    <t>Shift</t>
  </si>
  <si>
    <t>Total    (m)</t>
  </si>
  <si>
    <t xml:space="preserve"> BH Depth (m)</t>
  </si>
  <si>
    <t>BH ID / Start dt</t>
  </si>
  <si>
    <t>Block Name</t>
  </si>
  <si>
    <t>BH Type</t>
  </si>
  <si>
    <t>Remarks</t>
  </si>
  <si>
    <t>Total</t>
  </si>
  <si>
    <t>Murpar Camp </t>
  </si>
  <si>
    <t>DM-1000-21</t>
  </si>
  <si>
    <t>RD-100-04</t>
  </si>
  <si>
    <t>Monthly Cumm. Meterage</t>
  </si>
  <si>
    <t>Yearly Cumm. Meterage</t>
  </si>
  <si>
    <t>DRILLING  PROGRESS OF RI-IV,NAGPUR</t>
  </si>
  <si>
    <t>B/D Hours.Minutes</t>
  </si>
  <si>
    <t>RD100-5</t>
  </si>
  <si>
    <t>Monthly Cumm. Meterage EARLIER DAY</t>
  </si>
  <si>
    <t>Yearly Cumm. Meterage EARLIER DAY</t>
  </si>
  <si>
    <t xml:space="preserve"> BH Depth (m) EARLIER DAY</t>
  </si>
  <si>
    <t>HSD</t>
  </si>
  <si>
    <t>TOTAL</t>
  </si>
  <si>
    <t>Rig</t>
  </si>
  <si>
    <t>PREVENTIVE MAINTENANCE</t>
  </si>
  <si>
    <t>Working Hour</t>
  </si>
  <si>
    <t>normal</t>
  </si>
  <si>
    <t>shifting completed,s/l delayed due to rig b/d</t>
  </si>
  <si>
    <t>pump safety valve damaged,repaired.</t>
  </si>
  <si>
    <t>02.07.2026</t>
  </si>
  <si>
    <t>hard formation</t>
  </si>
  <si>
    <t>rig b/d and repairing done,bearing problem, rpaired.</t>
  </si>
  <si>
    <t>mud pump problem,piston rod dmaged,repaired</t>
  </si>
  <si>
    <t>CMWSWC134/27.06.2026</t>
  </si>
  <si>
    <t>CMWSWC135/01.07.2026</t>
  </si>
  <si>
    <t>south of wirur chincholi</t>
  </si>
  <si>
    <t>coring</t>
  </si>
  <si>
    <t>CMWSWC136/02.07.2026</t>
  </si>
  <si>
    <t>hyd chain  damaged,repairing done,mud pump b/d.</t>
  </si>
  <si>
    <t>hard formation,b/h washed.</t>
  </si>
  <si>
    <t>Murpar camp</t>
  </si>
  <si>
    <t>Reached bottom, drilling started,bh closed.</t>
  </si>
  <si>
    <t>Note : Drilling work hampered due to heavy rain.</t>
  </si>
  <si>
    <t>Reached bottom, drilling started, bh washed.</t>
  </si>
  <si>
    <t>Reached bottom, drilling started. Bh washed.</t>
  </si>
  <si>
    <t>04.07.2026</t>
  </si>
  <si>
    <t>05.07.2026</t>
  </si>
  <si>
    <t>rig b/d.</t>
  </si>
  <si>
    <t>Pump</t>
  </si>
  <si>
    <t>06.07.2026</t>
  </si>
  <si>
    <t>Mud pump b/d,repaired.</t>
  </si>
  <si>
    <t>Note : Drilling work hampered due to shortage of man power</t>
  </si>
  <si>
    <t>shortage of manpower.rig b/d.</t>
  </si>
  <si>
    <t>07.07.2026</t>
  </si>
  <si>
    <t>mud pump b/d,repairing u/p,arranged another mud pump,s/l delayed due to heavy rain at drill site</t>
  </si>
  <si>
    <t>08.07.2026</t>
  </si>
  <si>
    <t>mmd pump setting done.</t>
  </si>
  <si>
    <t>09.07.2026</t>
  </si>
  <si>
    <t xml:space="preserve">rrunning </t>
  </si>
  <si>
    <t>10.07.2026</t>
  </si>
  <si>
    <t>03.07.2026</t>
  </si>
  <si>
    <t>11.07.2026</t>
  </si>
  <si>
    <t>c</t>
  </si>
  <si>
    <t>running</t>
  </si>
  <si>
    <t>mud pump b/d,repaired.</t>
  </si>
  <si>
    <t xml:space="preserve">Not operated </t>
  </si>
  <si>
    <t xml:space="preserve">running </t>
  </si>
  <si>
    <t>13.07.2026</t>
  </si>
  <si>
    <t>string jammed,released.</t>
  </si>
  <si>
    <t>rig b/d,repairining u/p,block shifting u/p</t>
  </si>
  <si>
    <t>14.07.2026</t>
  </si>
  <si>
    <t>15.07.2026</t>
  </si>
  <si>
    <t>core slipped,recovered.</t>
  </si>
  <si>
    <t>16.07.2026</t>
  </si>
  <si>
    <t xml:space="preserve">RIG B/D , REPAIRING U/P </t>
  </si>
  <si>
    <t xml:space="preserve">BH JAM AND RELEASED , HEAVY CAVING , BH WASHED </t>
  </si>
  <si>
    <t>RUNNING VERY HARD FORMATION</t>
  </si>
  <si>
    <t>17.07.2026</t>
  </si>
  <si>
    <t>Heavu caving,borehole jammed,and released,difficulty in reaching bottom.</t>
  </si>
  <si>
    <t>18.07.2026</t>
  </si>
  <si>
    <t>Heavu caving,borehole jammed,and released,difficulty in reaching bottom.mud pump b/d.repaired.</t>
  </si>
  <si>
    <t>19.07.2026</t>
  </si>
  <si>
    <t>Heavu caving,difficulty in reaching bottom.</t>
  </si>
  <si>
    <t xml:space="preserve">RIG REPAIRED, DELAYED BY AMC TEAM IN LOADING IN TRUCK </t>
  </si>
  <si>
    <t xml:space="preserve">PUMP SAFETY VALVE B/D , COMPETENT MECHANIC ABSENT AT SITE </t>
  </si>
  <si>
    <t>20.07.2026</t>
  </si>
  <si>
    <t>21.07.2026</t>
  </si>
  <si>
    <t xml:space="preserve">PUMP REPAIRED AND AGAIN B/D  , COMPETENT MECHANIC ABSENT AT SITE , REPAIRING HAMPERED </t>
  </si>
  <si>
    <t>RUNNING VERY HARD FORMATION, SHORTAGE OF MANPOWER</t>
  </si>
  <si>
    <t xml:space="preserve">RIG SHIFTED , WORK HAMPERED DUE TO HEAVY RAIN , SHORTAGE OF MANPOWER </t>
  </si>
  <si>
    <t xml:space="preserve">RIG MOUNTED ON CHASSIS , S/L DONE BUT WORK HAMPERED DUE TO RAIN AND SHORTAGE OF MANPOWER </t>
  </si>
  <si>
    <t>STRING JAM , TRYING TO RELEASE JAM , FAILED , CHARGED STRING , DIFFICULTY IN WORK DUE TO SHOERAGE OF MANPOWER</t>
  </si>
  <si>
    <t xml:space="preserve">TUBE JAM AND RELEASED RUNNING VERY HARD FORMATION, WORK HAMPERED DUE TO SHORTAGE OF MANPOWER AND RAIN </t>
  </si>
  <si>
    <t>22.07.2026</t>
  </si>
  <si>
    <t xml:space="preserve">DERRECK INSTALLED , PUMP SETTING DONE , ROPE  DAMAGED , REPAIRED , RAIN AT SITE </t>
  </si>
  <si>
    <t xml:space="preserve">STRING JAM , POLYMER INJECTED , TRYING TO RELEASE JAM , FAILED , CHARGED STRING AGAIN , SUFFICIENT TENSION NOT GIVEN DUE TO SHORTAGE OF MANPOWER, , MUD PUMP HOSEPIPE BURST , PUMP B/D , AMC  TEAM NOT HAVING HOSEPIPE AT SITE </t>
  </si>
  <si>
    <t>RUNNING , WORK HAMPERED DUE TO SHORTAGE OF MANPOWER</t>
  </si>
  <si>
    <t>23.07.2026</t>
  </si>
  <si>
    <t>24.07.2026</t>
  </si>
  <si>
    <t>NEW BOREHOLE STARTED,MUD PUMP B/D</t>
  </si>
  <si>
    <t>CMWGE386/24.07.2026</t>
  </si>
  <si>
    <t>DIPSIDE OF BORDA</t>
  </si>
  <si>
    <t>25.07.2026</t>
  </si>
  <si>
    <t>BOREHOLE CLOSED.HARD FORMATION</t>
  </si>
  <si>
    <t>MUD PUMP B/D,REAPAIRED.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</si>
</sst>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 x14ac:knownFonts="1">
    <font>
      <sz val="11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2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6" fillId="0" borderId="0">
      <protection locked="0"/>
    </xf>
    <xf numFmtId="0" fontId="17" fillId="0" borderId="0">
      <protection locked="0"/>
    </xf>
    <xf numFmtId="0" fontId="18" fillId="0" borderId="0">
      <protection locked="0"/>
    </xf>
    <xf numFmtId="0" fontId="19" fillId="0" borderId="0">
      <protection locked="0"/>
    </xf>
    <xf numFmtId="0" fontId="20" fillId="0" borderId="0">
      <protection locked="0"/>
    </xf>
    <xf numFmtId="0" fontId="21" fillId="0" borderId="0">
      <protection locked="0"/>
    </xf>
  </cellStyleXfs>
  <cellXfs count="9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" fillId="0" borderId="1" xfId="5" applyNumberFormat="1" applyFont="1" applyBorder="1" applyAlignment="1" applyProtection="1">
      <alignment horizontal="center" vertical="center"/>
    </xf>
    <xf numFmtId="2" fontId="5" fillId="0" borderId="1" xfId="5" applyNumberFormat="1" applyFont="1" applyBorder="1" applyAlignment="1" applyProtection="1">
      <alignment horizontal="center" vertical="center"/>
    </xf>
    <xf numFmtId="2" fontId="1" fillId="0" borderId="4" xfId="5" applyNumberFormat="1" applyFont="1" applyBorder="1" applyAlignment="1" applyProtection="1">
      <alignment horizontal="center" vertical="center"/>
    </xf>
    <xf numFmtId="2" fontId="1" fillId="0" borderId="1" xfId="5" applyNumberFormat="1" applyFont="1" applyBorder="1" applyAlignment="1" applyProtection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4" fillId="0" borderId="1" xfId="5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5" fillId="0" borderId="1" xfId="5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5" fillId="4" borderId="1" xfId="5" applyNumberFormat="1" applyFont="1" applyFill="1" applyBorder="1" applyAlignment="1" applyProtection="1">
      <alignment horizontal="center" vertical="center"/>
    </xf>
    <xf numFmtId="2" fontId="1" fillId="4" borderId="1" xfId="5" applyNumberFormat="1" applyFont="1" applyFill="1" applyBorder="1" applyAlignment="1" applyProtection="1">
      <alignment horizontal="center" vertical="center"/>
    </xf>
    <xf numFmtId="2" fontId="1" fillId="4" borderId="1" xfId="5" applyNumberFormat="1" applyFont="1" applyFill="1" applyBorder="1" applyAlignment="1" applyProtection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2" fontId="4" fillId="4" borderId="1" xfId="5" applyNumberFormat="1" applyFont="1" applyFill="1" applyBorder="1" applyAlignment="1" applyProtection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6" fillId="4" borderId="5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2" fontId="22" fillId="4" borderId="1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/>
    </xf>
    <xf numFmtId="2" fontId="1" fillId="6" borderId="4" xfId="5" applyNumberFormat="1" applyFont="1" applyFill="1" applyBorder="1" applyAlignment="1" applyProtection="1">
      <alignment horizontal="center" vertical="center"/>
    </xf>
    <xf numFmtId="2" fontId="1" fillId="6" borderId="1" xfId="5" applyNumberFormat="1" applyFont="1" applyFill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3" fillId="3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11">
    <cellStyle name="Normal" xfId="0" builtinId="0"/>
    <cellStyle name="Normal 2 2" xfId="6" xr:uid="{00000000-0005-0000-0000-000001000000}"/>
    <cellStyle name="Normal 24" xfId="10" xr:uid="{00000000-0005-0000-0000-000002000000}"/>
    <cellStyle name="Normal 25" xfId="4" xr:uid="{00000000-0005-0000-0000-000003000000}"/>
    <cellStyle name="Normal 3" xfId="5" xr:uid="{00000000-0005-0000-0000-000004000000}"/>
    <cellStyle name="Normal 30" xfId="8" xr:uid="{00000000-0005-0000-0000-000005000000}"/>
    <cellStyle name="Normal 31" xfId="9" xr:uid="{00000000-0005-0000-0000-000006000000}"/>
    <cellStyle name="Normal 35" xfId="2" xr:uid="{00000000-0005-0000-0000-000007000000}"/>
    <cellStyle name="Normal 46" xfId="7" xr:uid="{00000000-0005-0000-0000-000008000000}"/>
    <cellStyle name="Normal 49" xfId="3" xr:uid="{00000000-0005-0000-0000-000009000000}"/>
    <cellStyle name="Normal 5" xfId="1" xr:uid="{00000000-0005-0000-0000-00000A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5"/>
  <sheetViews>
    <sheetView tabSelected="1" topLeftCell="A239" zoomScale="115" workbookViewId="0">
      <selection activeCell="A239" sqref="A239:S239"/>
    </sheetView>
  </sheetViews>
  <sheetFormatPr defaultColWidth="18.453125" defaultRowHeight="15.5" x14ac:dyDescent="0.35"/>
  <cols>
    <col min="1" max="1" width="18.453125" style="1"/>
    <col min="2" max="4" width="18.453125" style="2"/>
    <col min="5" max="5" width="0" style="2" hidden="1" customWidth="1"/>
    <col min="6" max="6" width="18.453125" style="2"/>
    <col min="7" max="7" width="0" style="2" hidden="1" customWidth="1"/>
    <col min="8" max="8" width="18.453125" style="2"/>
    <col min="9" max="9" width="0" style="2" hidden="1" customWidth="1"/>
    <col min="10" max="10" width="18.453125" style="2"/>
    <col min="11" max="11" width="25.1796875" style="1" customWidth="1"/>
    <col min="12" max="14" width="18.453125" style="1"/>
    <col min="15" max="15" width="46.453125" style="1" customWidth="1"/>
    <col min="16" max="18" width="18.453125" style="1"/>
    <col min="19" max="19" width="18.453125" style="3"/>
    <col min="20" max="20" width="18.453125" style="4"/>
    <col min="21" max="25" width="18.453125" style="1"/>
    <col min="26" max="26" width="18.453125" style="5"/>
    <col min="27" max="28" width="18.453125" style="4"/>
    <col min="29" max="29" width="18.453125" style="6"/>
    <col min="30" max="32" width="18.453125" style="5"/>
    <col min="33" max="16384" width="18.453125" style="1"/>
  </cols>
  <sheetData>
    <row r="1" spans="1:32" ht="25" hidden="1" customHeight="1" x14ac:dyDescent="0.35">
      <c r="A1" s="88" t="s">
        <v>13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7"/>
      <c r="U1" s="8"/>
      <c r="V1" s="8"/>
      <c r="W1" s="8"/>
    </row>
    <row r="2" spans="1:32" ht="40.5" hidden="1" customHeight="1" x14ac:dyDescent="0.35">
      <c r="A2" s="9" t="s">
        <v>8</v>
      </c>
      <c r="B2" s="85" t="s">
        <v>0</v>
      </c>
      <c r="C2" s="85"/>
      <c r="D2" s="10" t="s">
        <v>1</v>
      </c>
      <c r="E2" s="10" t="s">
        <v>16</v>
      </c>
      <c r="F2" s="10" t="s">
        <v>11</v>
      </c>
      <c r="G2" s="10" t="s">
        <v>17</v>
      </c>
      <c r="H2" s="10" t="s">
        <v>12</v>
      </c>
      <c r="I2" s="10" t="s">
        <v>18</v>
      </c>
      <c r="J2" s="10"/>
      <c r="K2" s="9" t="s">
        <v>3</v>
      </c>
      <c r="L2" s="9" t="s">
        <v>4</v>
      </c>
      <c r="M2" s="9" t="s">
        <v>5</v>
      </c>
      <c r="N2" s="9" t="s">
        <v>14</v>
      </c>
      <c r="O2" s="9" t="s">
        <v>6</v>
      </c>
      <c r="P2" s="9"/>
      <c r="Q2" s="9"/>
      <c r="R2" s="9"/>
      <c r="S2" s="9"/>
      <c r="T2" s="7"/>
      <c r="U2" s="8"/>
      <c r="V2" s="8"/>
      <c r="W2" s="8"/>
      <c r="Y2" s="6"/>
    </row>
    <row r="3" spans="1:32" ht="25" hidden="1" customHeight="1" x14ac:dyDescent="0.35">
      <c r="A3" s="11" t="s">
        <v>15</v>
      </c>
      <c r="B3" s="14">
        <v>18</v>
      </c>
      <c r="C3" s="15"/>
      <c r="D3" s="14">
        <v>18</v>
      </c>
      <c r="E3" s="16">
        <v>0</v>
      </c>
      <c r="F3" s="14">
        <v>18</v>
      </c>
      <c r="G3" s="16">
        <v>1819</v>
      </c>
      <c r="H3" s="14">
        <v>1837.0000000000002</v>
      </c>
      <c r="I3" s="14"/>
      <c r="J3" s="14">
        <v>133.4</v>
      </c>
      <c r="K3" s="17" t="s">
        <v>31</v>
      </c>
      <c r="L3" s="18" t="s">
        <v>33</v>
      </c>
      <c r="M3" s="11" t="s">
        <v>34</v>
      </c>
      <c r="N3" s="19"/>
      <c r="O3" s="20" t="s">
        <v>24</v>
      </c>
      <c r="P3" s="21">
        <v>0.5</v>
      </c>
      <c r="Q3" s="22">
        <v>10</v>
      </c>
      <c r="R3" s="22">
        <v>20</v>
      </c>
      <c r="S3" s="23">
        <v>10</v>
      </c>
      <c r="T3" s="7"/>
      <c r="U3" s="8"/>
      <c r="V3" s="8"/>
      <c r="W3" s="8"/>
      <c r="Y3" s="6"/>
    </row>
    <row r="4" spans="1:32" ht="25" hidden="1" customHeight="1" x14ac:dyDescent="0.35">
      <c r="A4" s="11" t="s">
        <v>9</v>
      </c>
      <c r="B4" s="14">
        <v>0</v>
      </c>
      <c r="C4" s="14"/>
      <c r="D4" s="14">
        <v>0</v>
      </c>
      <c r="E4" s="14">
        <v>0</v>
      </c>
      <c r="F4" s="14">
        <v>0</v>
      </c>
      <c r="G4" s="14">
        <v>1323</v>
      </c>
      <c r="H4" s="14">
        <v>1323</v>
      </c>
      <c r="I4" s="14"/>
      <c r="J4" s="14"/>
      <c r="K4" s="24"/>
      <c r="L4" s="18" t="s">
        <v>33</v>
      </c>
      <c r="M4" s="11" t="s">
        <v>34</v>
      </c>
      <c r="N4" s="19">
        <v>5</v>
      </c>
      <c r="O4" s="25" t="s">
        <v>25</v>
      </c>
      <c r="P4" s="21"/>
      <c r="Q4" s="22"/>
      <c r="R4" s="22"/>
      <c r="S4" s="26"/>
      <c r="T4" s="7"/>
      <c r="U4" s="8"/>
      <c r="V4" s="8"/>
      <c r="W4" s="8"/>
      <c r="Y4" s="6"/>
    </row>
    <row r="5" spans="1:32" ht="25" hidden="1" customHeight="1" x14ac:dyDescent="0.35">
      <c r="A5" s="11" t="s">
        <v>10</v>
      </c>
      <c r="B5" s="14">
        <v>19.399999999999999</v>
      </c>
      <c r="C5" s="14"/>
      <c r="D5" s="14">
        <v>19.399999999999999</v>
      </c>
      <c r="E5" s="14">
        <v>0</v>
      </c>
      <c r="F5" s="14">
        <v>19.399999999999999</v>
      </c>
      <c r="G5" s="14">
        <v>1681</v>
      </c>
      <c r="H5" s="14">
        <v>1700.4</v>
      </c>
      <c r="I5" s="14"/>
      <c r="J5" s="14">
        <v>19.399999999999999</v>
      </c>
      <c r="K5" s="17" t="s">
        <v>32</v>
      </c>
      <c r="L5" s="18" t="s">
        <v>33</v>
      </c>
      <c r="M5" s="11" t="s">
        <v>34</v>
      </c>
      <c r="N5" s="19">
        <v>2</v>
      </c>
      <c r="O5" s="20" t="s">
        <v>26</v>
      </c>
      <c r="P5" s="21">
        <v>0.5</v>
      </c>
      <c r="Q5" s="22">
        <v>8</v>
      </c>
      <c r="R5" s="22">
        <v>20</v>
      </c>
      <c r="S5" s="26">
        <v>10</v>
      </c>
      <c r="T5" s="7"/>
      <c r="U5" s="8"/>
      <c r="V5" s="8"/>
      <c r="W5" s="8"/>
      <c r="Y5" s="6"/>
    </row>
    <row r="6" spans="1:32" s="6" customFormat="1" ht="25" hidden="1" customHeight="1" x14ac:dyDescent="0.35">
      <c r="A6" s="12" t="s">
        <v>7</v>
      </c>
      <c r="B6" s="10">
        <v>37.4</v>
      </c>
      <c r="C6" s="10"/>
      <c r="D6" s="10">
        <v>37.4</v>
      </c>
      <c r="E6" s="10"/>
      <c r="F6" s="10">
        <v>37.4</v>
      </c>
      <c r="G6" s="10"/>
      <c r="H6" s="10"/>
      <c r="I6" s="10"/>
      <c r="J6" s="10"/>
      <c r="K6" s="9"/>
      <c r="L6" s="9"/>
      <c r="M6" s="9"/>
      <c r="N6" s="9"/>
      <c r="O6" s="27"/>
      <c r="P6" s="28"/>
      <c r="Q6" s="28"/>
      <c r="R6" s="10"/>
      <c r="S6" s="10"/>
      <c r="T6" s="7"/>
      <c r="U6" s="13"/>
      <c r="V6" s="13"/>
      <c r="W6" s="13"/>
      <c r="Z6" s="5"/>
      <c r="AA6" s="4"/>
      <c r="AB6" s="4"/>
      <c r="AD6" s="5"/>
      <c r="AE6" s="5"/>
      <c r="AF6" s="5"/>
    </row>
    <row r="7" spans="1:32" s="6" customFormat="1" ht="25" hidden="1" customHeight="1" x14ac:dyDescent="0.35">
      <c r="A7" s="12"/>
      <c r="B7" s="10"/>
      <c r="C7" s="10"/>
      <c r="D7" s="10"/>
      <c r="E7" s="10"/>
      <c r="F7" s="10"/>
      <c r="G7" s="10"/>
      <c r="H7" s="10"/>
      <c r="I7" s="10"/>
      <c r="J7" s="10"/>
      <c r="K7" s="9"/>
      <c r="L7" s="9"/>
      <c r="M7" s="9"/>
      <c r="N7" s="9"/>
      <c r="O7" s="27"/>
      <c r="P7" s="28"/>
      <c r="Q7" s="28"/>
      <c r="R7" s="10"/>
      <c r="S7" s="10"/>
      <c r="T7" s="7"/>
      <c r="U7" s="13"/>
      <c r="V7" s="13"/>
      <c r="W7" s="13"/>
      <c r="Z7" s="5"/>
      <c r="AA7" s="4"/>
      <c r="AB7" s="4"/>
      <c r="AD7" s="5"/>
      <c r="AE7" s="5"/>
      <c r="AF7" s="5"/>
    </row>
    <row r="8" spans="1:32" s="6" customFormat="1" ht="25" hidden="1" customHeight="1" x14ac:dyDescent="0.35">
      <c r="A8" s="12"/>
      <c r="B8" s="10"/>
      <c r="C8" s="10"/>
      <c r="D8" s="10"/>
      <c r="E8" s="10"/>
      <c r="F8" s="10"/>
      <c r="G8" s="10"/>
      <c r="H8" s="10"/>
      <c r="I8" s="10"/>
      <c r="J8" s="10"/>
      <c r="K8" s="9"/>
      <c r="L8" s="9"/>
      <c r="M8" s="9"/>
      <c r="N8" s="9"/>
      <c r="O8" s="27"/>
      <c r="P8" s="28"/>
      <c r="Q8" s="28"/>
      <c r="R8" s="10"/>
      <c r="S8" s="10"/>
      <c r="T8" s="7"/>
      <c r="U8" s="13"/>
      <c r="V8" s="13"/>
      <c r="W8" s="13"/>
      <c r="Z8" s="5"/>
      <c r="AA8" s="4"/>
      <c r="AB8" s="4"/>
      <c r="AD8" s="5"/>
      <c r="AE8" s="5"/>
      <c r="AF8" s="5"/>
    </row>
    <row r="9" spans="1:32" ht="25" hidden="1" customHeight="1" x14ac:dyDescent="0.35">
      <c r="A9" s="88" t="s">
        <v>13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7"/>
      <c r="U9" s="8"/>
      <c r="V9" s="8"/>
      <c r="W9" s="8"/>
    </row>
    <row r="10" spans="1:32" ht="25" hidden="1" customHeight="1" x14ac:dyDescent="0.35">
      <c r="A10" s="89" t="s">
        <v>27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7"/>
      <c r="U10" s="8"/>
      <c r="V10" s="8"/>
      <c r="W10" s="8"/>
    </row>
    <row r="11" spans="1:32" ht="27" hidden="1" customHeight="1" x14ac:dyDescent="0.35">
      <c r="A11" s="9" t="s">
        <v>8</v>
      </c>
      <c r="B11" s="85" t="s">
        <v>0</v>
      </c>
      <c r="C11" s="85"/>
      <c r="D11" s="10" t="s">
        <v>1</v>
      </c>
      <c r="E11" s="10" t="s">
        <v>16</v>
      </c>
      <c r="F11" s="10" t="s">
        <v>11</v>
      </c>
      <c r="G11" s="10" t="s">
        <v>17</v>
      </c>
      <c r="H11" s="10" t="s">
        <v>12</v>
      </c>
      <c r="I11" s="10" t="s">
        <v>18</v>
      </c>
      <c r="J11" s="10"/>
      <c r="K11" s="9" t="s">
        <v>3</v>
      </c>
      <c r="L11" s="9" t="s">
        <v>4</v>
      </c>
      <c r="M11" s="9" t="s">
        <v>5</v>
      </c>
      <c r="N11" s="9" t="s">
        <v>14</v>
      </c>
      <c r="O11" s="9" t="s">
        <v>6</v>
      </c>
      <c r="P11" s="9"/>
      <c r="Q11" s="9"/>
      <c r="R11" s="9"/>
      <c r="S11" s="9"/>
      <c r="T11" s="7"/>
      <c r="U11" s="8"/>
      <c r="V11" s="8"/>
      <c r="W11" s="8"/>
      <c r="Y11" s="6"/>
    </row>
    <row r="12" spans="1:32" ht="25" hidden="1" customHeight="1" x14ac:dyDescent="0.35">
      <c r="A12" s="11" t="s">
        <v>15</v>
      </c>
      <c r="B12" s="26">
        <v>30</v>
      </c>
      <c r="C12" s="15"/>
      <c r="D12" s="26">
        <v>30</v>
      </c>
      <c r="E12" s="16">
        <f>F3</f>
        <v>18</v>
      </c>
      <c r="F12" s="14">
        <f>E12+D12</f>
        <v>48</v>
      </c>
      <c r="G12" s="16">
        <f>H3</f>
        <v>1837.0000000000002</v>
      </c>
      <c r="H12" s="14">
        <f>G12+D12</f>
        <v>1867.0000000000002</v>
      </c>
      <c r="I12" s="14">
        <f>J3</f>
        <v>133.4</v>
      </c>
      <c r="J12" s="14">
        <f>I12+D12</f>
        <v>163.4</v>
      </c>
      <c r="K12" s="17" t="s">
        <v>31</v>
      </c>
      <c r="L12" s="18" t="s">
        <v>33</v>
      </c>
      <c r="M12" s="11" t="s">
        <v>34</v>
      </c>
      <c r="N12" s="19"/>
      <c r="O12" s="23" t="s">
        <v>28</v>
      </c>
      <c r="P12" s="20">
        <v>0.5</v>
      </c>
      <c r="Q12" s="21">
        <v>10</v>
      </c>
      <c r="R12" s="22">
        <v>20</v>
      </c>
      <c r="S12" s="22">
        <v>10</v>
      </c>
      <c r="T12" s="1"/>
      <c r="U12" s="8"/>
      <c r="V12" s="8"/>
      <c r="W12" s="8"/>
      <c r="Y12" s="6"/>
    </row>
    <row r="13" spans="1:32" ht="25" hidden="1" customHeight="1" x14ac:dyDescent="0.35">
      <c r="A13" s="11" t="s">
        <v>9</v>
      </c>
      <c r="B13" s="26">
        <v>3</v>
      </c>
      <c r="C13" s="14"/>
      <c r="D13" s="26">
        <v>3</v>
      </c>
      <c r="E13" s="16">
        <f t="shared" ref="E13:E14" si="0">F4</f>
        <v>0</v>
      </c>
      <c r="F13" s="14">
        <f t="shared" ref="F13:F14" si="1">E13+D13</f>
        <v>3</v>
      </c>
      <c r="G13" s="16">
        <f t="shared" ref="G13:G14" si="2">H4</f>
        <v>1323</v>
      </c>
      <c r="H13" s="14">
        <f t="shared" ref="H13:H14" si="3">G13+D13</f>
        <v>1326</v>
      </c>
      <c r="I13" s="14">
        <f t="shared" ref="I13:I14" si="4">J4</f>
        <v>0</v>
      </c>
      <c r="J13" s="14">
        <f t="shared" ref="J13:J14" si="5">I13+D13</f>
        <v>3</v>
      </c>
      <c r="K13" s="17" t="s">
        <v>35</v>
      </c>
      <c r="L13" s="18" t="s">
        <v>33</v>
      </c>
      <c r="M13" s="11" t="s">
        <v>34</v>
      </c>
      <c r="N13" s="19">
        <v>5</v>
      </c>
      <c r="O13" s="26" t="s">
        <v>29</v>
      </c>
      <c r="P13" s="25">
        <v>0.5</v>
      </c>
      <c r="Q13" s="21">
        <v>5</v>
      </c>
      <c r="R13" s="22">
        <v>20</v>
      </c>
      <c r="S13" s="22">
        <v>10</v>
      </c>
      <c r="T13" s="1"/>
      <c r="U13" s="8"/>
      <c r="V13" s="8"/>
      <c r="W13" s="8"/>
      <c r="Y13" s="6"/>
    </row>
    <row r="14" spans="1:32" ht="25" hidden="1" customHeight="1" x14ac:dyDescent="0.35">
      <c r="A14" s="11" t="s">
        <v>10</v>
      </c>
      <c r="B14" s="26">
        <v>9</v>
      </c>
      <c r="C14" s="14"/>
      <c r="D14" s="26">
        <v>9</v>
      </c>
      <c r="E14" s="16">
        <f t="shared" si="0"/>
        <v>19.399999999999999</v>
      </c>
      <c r="F14" s="14">
        <f t="shared" si="1"/>
        <v>28.4</v>
      </c>
      <c r="G14" s="16">
        <f t="shared" si="2"/>
        <v>1700.4</v>
      </c>
      <c r="H14" s="14">
        <f t="shared" si="3"/>
        <v>1709.4</v>
      </c>
      <c r="I14" s="14">
        <f t="shared" si="4"/>
        <v>19.399999999999999</v>
      </c>
      <c r="J14" s="14">
        <f t="shared" si="5"/>
        <v>28.4</v>
      </c>
      <c r="K14" s="17" t="s">
        <v>32</v>
      </c>
      <c r="L14" s="18" t="s">
        <v>33</v>
      </c>
      <c r="M14" s="11" t="s">
        <v>34</v>
      </c>
      <c r="N14" s="19">
        <v>4</v>
      </c>
      <c r="O14" s="26" t="s">
        <v>30</v>
      </c>
      <c r="P14" s="20">
        <v>0.5</v>
      </c>
      <c r="Q14" s="21">
        <v>6</v>
      </c>
      <c r="R14" s="22">
        <v>20</v>
      </c>
      <c r="S14" s="22">
        <v>10</v>
      </c>
      <c r="T14" s="1"/>
      <c r="U14" s="8"/>
      <c r="V14" s="8"/>
      <c r="W14" s="8"/>
      <c r="Y14" s="6"/>
    </row>
    <row r="15" spans="1:32" s="6" customFormat="1" ht="25" hidden="1" customHeight="1" x14ac:dyDescent="0.35">
      <c r="A15" s="12" t="s">
        <v>7</v>
      </c>
      <c r="B15" s="10">
        <v>42</v>
      </c>
      <c r="C15" s="10"/>
      <c r="D15" s="10">
        <v>42</v>
      </c>
      <c r="E15" s="10"/>
      <c r="F15" s="10">
        <v>79.400000000000006</v>
      </c>
      <c r="G15" s="10"/>
      <c r="H15" s="10"/>
      <c r="I15" s="10"/>
      <c r="J15" s="10"/>
      <c r="K15" s="9"/>
      <c r="L15" s="9"/>
      <c r="M15" s="9"/>
      <c r="N15" s="9"/>
      <c r="O15" s="27"/>
      <c r="P15" s="28"/>
      <c r="Q15" s="28"/>
      <c r="R15" s="10"/>
      <c r="S15" s="10"/>
      <c r="T15" s="7"/>
      <c r="U15" s="13"/>
      <c r="V15" s="13"/>
      <c r="W15" s="13"/>
      <c r="Z15" s="5"/>
      <c r="AA15" s="4"/>
      <c r="AB15" s="4"/>
      <c r="AD15" s="5"/>
      <c r="AE15" s="5"/>
      <c r="AF15" s="5"/>
    </row>
    <row r="16" spans="1:32" ht="25" hidden="1" customHeight="1" x14ac:dyDescent="0.35">
      <c r="A16" s="8"/>
      <c r="B16" s="29"/>
      <c r="C16" s="29"/>
      <c r="D16" s="29"/>
      <c r="E16" s="29"/>
      <c r="F16" s="29"/>
      <c r="G16" s="29"/>
      <c r="H16" s="29"/>
      <c r="I16" s="29"/>
      <c r="J16" s="29"/>
      <c r="K16" s="8"/>
      <c r="L16" s="8"/>
      <c r="M16" s="8"/>
      <c r="N16" s="8"/>
      <c r="O16" s="8"/>
      <c r="P16" s="8"/>
      <c r="Q16" s="8"/>
      <c r="R16" s="8"/>
      <c r="S16" s="30"/>
      <c r="T16" s="7"/>
      <c r="U16" s="8"/>
      <c r="V16" s="8"/>
      <c r="W16" s="8"/>
      <c r="Y16" s="6"/>
    </row>
    <row r="17" spans="1:32" ht="25" hidden="1" customHeight="1" x14ac:dyDescent="0.35">
      <c r="A17" s="8"/>
      <c r="B17" s="29"/>
      <c r="C17" s="29"/>
      <c r="D17" s="29"/>
      <c r="E17" s="29"/>
      <c r="F17" s="29"/>
      <c r="G17" s="29"/>
      <c r="H17" s="29"/>
      <c r="I17" s="29"/>
      <c r="J17" s="29"/>
      <c r="K17" s="8"/>
      <c r="L17" s="8"/>
      <c r="M17" s="8"/>
      <c r="N17" s="8"/>
      <c r="O17" s="8"/>
      <c r="P17" s="8"/>
      <c r="Q17" s="8"/>
      <c r="R17" s="8"/>
      <c r="S17" s="30"/>
      <c r="T17" s="7"/>
      <c r="U17" s="8"/>
      <c r="V17" s="8"/>
      <c r="W17" s="8"/>
      <c r="Y17" s="6"/>
    </row>
    <row r="18" spans="1:32" ht="25" hidden="1" customHeight="1" x14ac:dyDescent="0.35">
      <c r="A18" s="80" t="s">
        <v>13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7"/>
      <c r="U18" s="8"/>
      <c r="V18" s="8"/>
      <c r="W18" s="8"/>
    </row>
    <row r="19" spans="1:32" ht="25" hidden="1" customHeight="1" x14ac:dyDescent="0.35">
      <c r="A19" s="66" t="s">
        <v>58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7"/>
      <c r="U19" s="8"/>
      <c r="V19" s="8"/>
      <c r="W19" s="8"/>
    </row>
    <row r="20" spans="1:32" ht="25" hidden="1" customHeight="1" x14ac:dyDescent="0.35">
      <c r="A20" s="70" t="s">
        <v>38</v>
      </c>
      <c r="B20" s="76" t="s">
        <v>0</v>
      </c>
      <c r="C20" s="77"/>
      <c r="D20" s="74" t="s">
        <v>1</v>
      </c>
      <c r="E20" s="74" t="s">
        <v>16</v>
      </c>
      <c r="F20" s="74" t="s">
        <v>11</v>
      </c>
      <c r="G20" s="74" t="s">
        <v>17</v>
      </c>
      <c r="H20" s="74" t="s">
        <v>12</v>
      </c>
      <c r="I20" s="74" t="s">
        <v>18</v>
      </c>
      <c r="J20" s="74" t="s">
        <v>2</v>
      </c>
      <c r="K20" s="70" t="s">
        <v>3</v>
      </c>
      <c r="L20" s="68" t="s">
        <v>4</v>
      </c>
      <c r="M20" s="70" t="s">
        <v>5</v>
      </c>
      <c r="N20" s="70" t="s">
        <v>14</v>
      </c>
      <c r="O20" s="70" t="s">
        <v>6</v>
      </c>
      <c r="P20" s="70" t="s">
        <v>22</v>
      </c>
      <c r="Q20" s="70" t="s">
        <v>23</v>
      </c>
      <c r="R20" s="72" t="s">
        <v>19</v>
      </c>
      <c r="S20" s="73"/>
      <c r="T20" s="83"/>
      <c r="U20" s="84"/>
      <c r="V20" s="8"/>
      <c r="W20" s="8"/>
      <c r="Y20" s="82"/>
      <c r="Z20" s="82"/>
      <c r="AA20" s="81"/>
      <c r="AB20" s="81"/>
      <c r="AC20" s="82"/>
      <c r="AD20" s="82"/>
      <c r="AE20" s="82"/>
      <c r="AF20" s="82"/>
    </row>
    <row r="21" spans="1:32" ht="25" hidden="1" customHeight="1" x14ac:dyDescent="0.35">
      <c r="A21" s="71"/>
      <c r="B21" s="78"/>
      <c r="C21" s="79"/>
      <c r="D21" s="75"/>
      <c r="E21" s="75"/>
      <c r="F21" s="75"/>
      <c r="G21" s="75"/>
      <c r="H21" s="75"/>
      <c r="I21" s="75"/>
      <c r="J21" s="75"/>
      <c r="K21" s="71"/>
      <c r="L21" s="69"/>
      <c r="M21" s="71"/>
      <c r="N21" s="71"/>
      <c r="O21" s="71"/>
      <c r="P21" s="71"/>
      <c r="Q21" s="71"/>
      <c r="R21" s="86" t="s">
        <v>20</v>
      </c>
      <c r="S21" s="87"/>
      <c r="T21" s="83"/>
      <c r="U21" s="84"/>
      <c r="V21" s="8"/>
      <c r="W21" s="8"/>
      <c r="Y21" s="82"/>
      <c r="Z21" s="82"/>
      <c r="AA21" s="81"/>
      <c r="AB21" s="81"/>
      <c r="AC21" s="82"/>
      <c r="AD21" s="82"/>
      <c r="AE21" s="82"/>
      <c r="AF21" s="82"/>
    </row>
    <row r="22" spans="1:32" ht="25" hidden="1" customHeight="1" x14ac:dyDescent="0.35">
      <c r="A22" s="31" t="s">
        <v>15</v>
      </c>
      <c r="B22" s="32">
        <v>24</v>
      </c>
      <c r="C22" s="33"/>
      <c r="D22" s="32">
        <v>24</v>
      </c>
      <c r="E22" s="16">
        <f>F12</f>
        <v>48</v>
      </c>
      <c r="F22" s="14">
        <f>E22+D22</f>
        <v>72</v>
      </c>
      <c r="G22" s="16">
        <f>H12</f>
        <v>1867.0000000000002</v>
      </c>
      <c r="H22" s="14">
        <f>G22+D22</f>
        <v>1891.0000000000002</v>
      </c>
      <c r="I22" s="14">
        <f>J12</f>
        <v>163.4</v>
      </c>
      <c r="J22" s="14">
        <f>I22+D22</f>
        <v>187.4</v>
      </c>
      <c r="K22" s="35" t="s">
        <v>31</v>
      </c>
      <c r="L22" s="36" t="s">
        <v>33</v>
      </c>
      <c r="M22" s="31" t="s">
        <v>34</v>
      </c>
      <c r="N22" s="37"/>
      <c r="O22" s="38" t="s">
        <v>37</v>
      </c>
      <c r="P22" s="39">
        <v>0.5</v>
      </c>
      <c r="Q22" s="40">
        <v>10</v>
      </c>
      <c r="R22" s="41">
        <v>20</v>
      </c>
      <c r="S22" s="41">
        <v>10</v>
      </c>
      <c r="T22" s="1"/>
      <c r="U22" s="8"/>
      <c r="V22" s="8"/>
      <c r="W22" s="8"/>
      <c r="Y22" s="6"/>
    </row>
    <row r="23" spans="1:32" ht="25" hidden="1" customHeight="1" x14ac:dyDescent="0.35">
      <c r="A23" s="31" t="s">
        <v>9</v>
      </c>
      <c r="B23" s="32">
        <v>19.5</v>
      </c>
      <c r="C23" s="34"/>
      <c r="D23" s="32">
        <v>19.5</v>
      </c>
      <c r="E23" s="16">
        <f t="shared" ref="E23:E24" si="6">F13</f>
        <v>3</v>
      </c>
      <c r="F23" s="14">
        <f t="shared" ref="F23:F24" si="7">E23+D23</f>
        <v>22.5</v>
      </c>
      <c r="G23" s="16">
        <f t="shared" ref="G23:G24" si="8">H13</f>
        <v>1326</v>
      </c>
      <c r="H23" s="14">
        <f t="shared" ref="H23:H24" si="9">G23+D23</f>
        <v>1345.5</v>
      </c>
      <c r="I23" s="14">
        <f t="shared" ref="I23:I24" si="10">J13</f>
        <v>3</v>
      </c>
      <c r="J23" s="14">
        <f t="shared" ref="J23:J24" si="11">I23+D23</f>
        <v>22.5</v>
      </c>
      <c r="K23" s="35" t="s">
        <v>35</v>
      </c>
      <c r="L23" s="36" t="s">
        <v>33</v>
      </c>
      <c r="M23" s="31" t="s">
        <v>34</v>
      </c>
      <c r="N23" s="37">
        <v>6</v>
      </c>
      <c r="O23" s="32" t="s">
        <v>36</v>
      </c>
      <c r="P23" s="42">
        <v>0.5</v>
      </c>
      <c r="Q23" s="40">
        <v>4</v>
      </c>
      <c r="R23" s="41">
        <v>20</v>
      </c>
      <c r="S23" s="41">
        <v>10</v>
      </c>
      <c r="T23" s="1"/>
      <c r="U23" s="8"/>
      <c r="V23" s="8"/>
      <c r="W23" s="8"/>
      <c r="Y23" s="6"/>
    </row>
    <row r="24" spans="1:32" ht="25" hidden="1" customHeight="1" x14ac:dyDescent="0.35">
      <c r="A24" s="31" t="s">
        <v>10</v>
      </c>
      <c r="B24" s="32">
        <v>30</v>
      </c>
      <c r="C24" s="34"/>
      <c r="D24" s="32">
        <v>30</v>
      </c>
      <c r="E24" s="16">
        <f t="shared" si="6"/>
        <v>28.4</v>
      </c>
      <c r="F24" s="14">
        <f t="shared" si="7"/>
        <v>58.4</v>
      </c>
      <c r="G24" s="16">
        <f t="shared" si="8"/>
        <v>1709.4</v>
      </c>
      <c r="H24" s="14">
        <f t="shared" si="9"/>
        <v>1739.4</v>
      </c>
      <c r="I24" s="14">
        <f t="shared" si="10"/>
        <v>28.4</v>
      </c>
      <c r="J24" s="14">
        <f t="shared" si="11"/>
        <v>58.4</v>
      </c>
      <c r="K24" s="35" t="s">
        <v>32</v>
      </c>
      <c r="L24" s="36" t="s">
        <v>33</v>
      </c>
      <c r="M24" s="31" t="s">
        <v>34</v>
      </c>
      <c r="N24" s="37">
        <v>4</v>
      </c>
      <c r="O24" s="32" t="s">
        <v>30</v>
      </c>
      <c r="P24" s="39">
        <v>0.5</v>
      </c>
      <c r="Q24" s="40">
        <v>6</v>
      </c>
      <c r="R24" s="41">
        <v>20</v>
      </c>
      <c r="S24" s="41">
        <v>10</v>
      </c>
      <c r="T24" s="1"/>
      <c r="U24" s="8"/>
      <c r="V24" s="8"/>
      <c r="W24" s="8"/>
      <c r="Y24" s="6"/>
    </row>
    <row r="25" spans="1:32" s="6" customFormat="1" ht="25" hidden="1" customHeight="1" x14ac:dyDescent="0.35">
      <c r="A25" s="43" t="s">
        <v>7</v>
      </c>
      <c r="B25" s="44">
        <v>73.5</v>
      </c>
      <c r="C25" s="44"/>
      <c r="D25" s="44">
        <v>73.5</v>
      </c>
      <c r="E25" s="44"/>
      <c r="F25" s="44">
        <v>152.9</v>
      </c>
      <c r="G25" s="44"/>
      <c r="H25" s="44">
        <v>4975.8999999999996</v>
      </c>
      <c r="I25" s="44"/>
      <c r="J25" s="44"/>
      <c r="K25" s="45"/>
      <c r="L25" s="45"/>
      <c r="M25" s="45"/>
      <c r="N25" s="45"/>
      <c r="O25" s="46"/>
      <c r="P25" s="47"/>
      <c r="Q25" s="47"/>
      <c r="R25" s="44"/>
      <c r="S25" s="44"/>
      <c r="T25" s="7"/>
      <c r="U25" s="13"/>
      <c r="V25" s="13"/>
      <c r="W25" s="13"/>
      <c r="Z25" s="5"/>
      <c r="AA25" s="4"/>
      <c r="AB25" s="4"/>
      <c r="AD25" s="5"/>
      <c r="AE25" s="5"/>
      <c r="AF25" s="5"/>
    </row>
    <row r="26" spans="1:32" s="6" customFormat="1" ht="25" hidden="1" customHeight="1" x14ac:dyDescent="0.35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9"/>
      <c r="L26" s="9"/>
      <c r="M26" s="9"/>
      <c r="N26" s="9"/>
      <c r="O26" s="27"/>
      <c r="P26" s="28"/>
      <c r="Q26" s="28"/>
      <c r="R26" s="10"/>
      <c r="S26" s="10"/>
      <c r="T26" s="7"/>
      <c r="U26" s="13"/>
      <c r="V26" s="13"/>
      <c r="W26" s="13"/>
      <c r="Z26" s="5"/>
      <c r="AA26" s="4"/>
      <c r="AB26" s="4"/>
      <c r="AD26" s="5"/>
      <c r="AE26" s="5"/>
      <c r="AF26" s="5"/>
    </row>
    <row r="27" spans="1:32" s="6" customFormat="1" ht="25" hidden="1" customHeight="1" x14ac:dyDescent="0.35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9"/>
      <c r="L27" s="9"/>
      <c r="M27" s="9"/>
      <c r="N27" s="9"/>
      <c r="O27" s="27"/>
      <c r="P27" s="28"/>
      <c r="Q27" s="28"/>
      <c r="R27" s="10"/>
      <c r="S27" s="10"/>
      <c r="T27" s="7"/>
      <c r="U27" s="13"/>
      <c r="V27" s="13"/>
      <c r="W27" s="13"/>
      <c r="Z27" s="5"/>
      <c r="AA27" s="4"/>
      <c r="AB27" s="4"/>
      <c r="AD27" s="5"/>
      <c r="AE27" s="5"/>
      <c r="AF27" s="5"/>
    </row>
    <row r="28" spans="1:32" ht="25" hidden="1" customHeight="1" x14ac:dyDescent="0.35">
      <c r="A28" s="80" t="s">
        <v>13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7"/>
      <c r="U28" s="8"/>
      <c r="V28" s="8"/>
      <c r="W28" s="8"/>
    </row>
    <row r="29" spans="1:32" ht="25" hidden="1" customHeight="1" x14ac:dyDescent="0.35">
      <c r="A29" s="66" t="s">
        <v>43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7"/>
      <c r="U29" s="8"/>
      <c r="V29" s="8"/>
      <c r="W29" s="8"/>
    </row>
    <row r="30" spans="1:32" ht="25" hidden="1" customHeight="1" x14ac:dyDescent="0.35">
      <c r="A30" s="70" t="s">
        <v>38</v>
      </c>
      <c r="B30" s="76" t="s">
        <v>0</v>
      </c>
      <c r="C30" s="77"/>
      <c r="D30" s="74" t="s">
        <v>1</v>
      </c>
      <c r="E30" s="74" t="s">
        <v>16</v>
      </c>
      <c r="F30" s="74" t="s">
        <v>11</v>
      </c>
      <c r="G30" s="74" t="s">
        <v>17</v>
      </c>
      <c r="H30" s="74" t="s">
        <v>12</v>
      </c>
      <c r="I30" s="74" t="s">
        <v>18</v>
      </c>
      <c r="J30" s="74" t="s">
        <v>2</v>
      </c>
      <c r="K30" s="70" t="s">
        <v>3</v>
      </c>
      <c r="L30" s="68" t="s">
        <v>4</v>
      </c>
      <c r="M30" s="70" t="s">
        <v>5</v>
      </c>
      <c r="N30" s="70" t="s">
        <v>14</v>
      </c>
      <c r="O30" s="70" t="s">
        <v>6</v>
      </c>
      <c r="P30" s="70" t="s">
        <v>22</v>
      </c>
      <c r="Q30" s="70" t="s">
        <v>23</v>
      </c>
      <c r="R30" s="72" t="s">
        <v>19</v>
      </c>
      <c r="S30" s="73"/>
      <c r="T30" s="83"/>
      <c r="U30" s="84"/>
      <c r="V30" s="8"/>
      <c r="W30" s="8"/>
      <c r="Y30" s="82"/>
      <c r="Z30" s="82"/>
      <c r="AA30" s="81"/>
      <c r="AB30" s="81"/>
      <c r="AC30" s="82"/>
      <c r="AD30" s="82"/>
      <c r="AE30" s="82"/>
      <c r="AF30" s="82"/>
    </row>
    <row r="31" spans="1:32" ht="25" hidden="1" customHeight="1" x14ac:dyDescent="0.35">
      <c r="A31" s="71"/>
      <c r="B31" s="78"/>
      <c r="C31" s="79"/>
      <c r="D31" s="75"/>
      <c r="E31" s="75"/>
      <c r="F31" s="75"/>
      <c r="G31" s="75"/>
      <c r="H31" s="75"/>
      <c r="I31" s="75"/>
      <c r="J31" s="75"/>
      <c r="K31" s="71"/>
      <c r="L31" s="69"/>
      <c r="M31" s="71"/>
      <c r="N31" s="71"/>
      <c r="O31" s="71"/>
      <c r="P31" s="71"/>
      <c r="Q31" s="71"/>
      <c r="R31" s="86" t="s">
        <v>20</v>
      </c>
      <c r="S31" s="87"/>
      <c r="T31" s="83"/>
      <c r="U31" s="84"/>
      <c r="V31" s="8"/>
      <c r="W31" s="8"/>
      <c r="Y31" s="82"/>
      <c r="Z31" s="82"/>
      <c r="AA31" s="81"/>
      <c r="AB31" s="81"/>
      <c r="AC31" s="82"/>
      <c r="AD31" s="82"/>
      <c r="AE31" s="82"/>
      <c r="AF31" s="82"/>
    </row>
    <row r="32" spans="1:32" ht="25" hidden="1" customHeight="1" x14ac:dyDescent="0.35">
      <c r="A32" s="31" t="s">
        <v>15</v>
      </c>
      <c r="B32" s="32">
        <v>9</v>
      </c>
      <c r="C32" s="33"/>
      <c r="D32" s="32">
        <v>9</v>
      </c>
      <c r="E32" s="16">
        <f>F22</f>
        <v>72</v>
      </c>
      <c r="F32" s="14">
        <f>E32+D32</f>
        <v>81</v>
      </c>
      <c r="G32" s="16">
        <f>H22</f>
        <v>1891.0000000000002</v>
      </c>
      <c r="H32" s="14">
        <f>G32+D32</f>
        <v>1900.0000000000002</v>
      </c>
      <c r="I32" s="14">
        <f>J22</f>
        <v>187.4</v>
      </c>
      <c r="J32" s="14">
        <f>I32+D32</f>
        <v>196.4</v>
      </c>
      <c r="K32" s="35" t="s">
        <v>31</v>
      </c>
      <c r="L32" s="36" t="s">
        <v>33</v>
      </c>
      <c r="M32" s="31" t="s">
        <v>34</v>
      </c>
      <c r="N32" s="37"/>
      <c r="O32" s="36" t="s">
        <v>39</v>
      </c>
      <c r="P32" s="39">
        <v>0.5</v>
      </c>
      <c r="Q32" s="40">
        <v>10</v>
      </c>
      <c r="R32" s="41">
        <v>20</v>
      </c>
      <c r="S32" s="41">
        <v>10</v>
      </c>
      <c r="T32" s="1"/>
      <c r="U32" s="8"/>
      <c r="V32" s="8"/>
      <c r="W32" s="8"/>
      <c r="Y32" s="6"/>
    </row>
    <row r="33" spans="1:32" ht="25" hidden="1" customHeight="1" x14ac:dyDescent="0.35">
      <c r="A33" s="31" t="s">
        <v>9</v>
      </c>
      <c r="B33" s="32">
        <v>33</v>
      </c>
      <c r="C33" s="34"/>
      <c r="D33" s="32">
        <v>33</v>
      </c>
      <c r="E33" s="16">
        <f t="shared" ref="E33:E34" si="12">F23</f>
        <v>22.5</v>
      </c>
      <c r="F33" s="14">
        <f t="shared" ref="F33:F34" si="13">E33+D33</f>
        <v>55.5</v>
      </c>
      <c r="G33" s="16">
        <f t="shared" ref="G33:G34" si="14">H23</f>
        <v>1345.5</v>
      </c>
      <c r="H33" s="14">
        <f t="shared" ref="H33:H34" si="15">G33+D33</f>
        <v>1378.5</v>
      </c>
      <c r="I33" s="14">
        <f t="shared" ref="I33:I34" si="16">J23</f>
        <v>22.5</v>
      </c>
      <c r="J33" s="14">
        <f t="shared" ref="J33:J34" si="17">I33+D33</f>
        <v>55.5</v>
      </c>
      <c r="K33" s="35" t="s">
        <v>35</v>
      </c>
      <c r="L33" s="36" t="s">
        <v>33</v>
      </c>
      <c r="M33" s="31" t="s">
        <v>34</v>
      </c>
      <c r="N33" s="37"/>
      <c r="O33" s="36" t="s">
        <v>41</v>
      </c>
      <c r="P33" s="42">
        <v>0.5</v>
      </c>
      <c r="Q33" s="40">
        <v>10</v>
      </c>
      <c r="R33" s="41">
        <v>20</v>
      </c>
      <c r="S33" s="41">
        <v>10</v>
      </c>
      <c r="T33" s="1"/>
      <c r="U33" s="8"/>
      <c r="V33" s="8"/>
      <c r="W33" s="8"/>
      <c r="Y33" s="6"/>
    </row>
    <row r="34" spans="1:32" ht="25" hidden="1" customHeight="1" x14ac:dyDescent="0.35">
      <c r="A34" s="31" t="s">
        <v>10</v>
      </c>
      <c r="B34" s="32">
        <v>15</v>
      </c>
      <c r="C34" s="34"/>
      <c r="D34" s="32">
        <v>15</v>
      </c>
      <c r="E34" s="16">
        <f t="shared" si="12"/>
        <v>58.4</v>
      </c>
      <c r="F34" s="14">
        <f t="shared" si="13"/>
        <v>73.400000000000006</v>
      </c>
      <c r="G34" s="16">
        <f t="shared" si="14"/>
        <v>1739.4</v>
      </c>
      <c r="H34" s="14">
        <f t="shared" si="15"/>
        <v>1754.4</v>
      </c>
      <c r="I34" s="14">
        <f t="shared" si="16"/>
        <v>58.4</v>
      </c>
      <c r="J34" s="14">
        <f t="shared" si="17"/>
        <v>73.400000000000006</v>
      </c>
      <c r="K34" s="35" t="s">
        <v>32</v>
      </c>
      <c r="L34" s="36" t="s">
        <v>33</v>
      </c>
      <c r="M34" s="31" t="s">
        <v>34</v>
      </c>
      <c r="N34" s="37"/>
      <c r="O34" s="36" t="s">
        <v>42</v>
      </c>
      <c r="P34" s="39">
        <v>0.5</v>
      </c>
      <c r="Q34" s="40">
        <v>10</v>
      </c>
      <c r="R34" s="41">
        <v>20</v>
      </c>
      <c r="S34" s="41">
        <v>10</v>
      </c>
      <c r="T34" s="1"/>
      <c r="U34" s="8"/>
      <c r="V34" s="8"/>
      <c r="W34" s="8"/>
      <c r="Y34" s="6"/>
    </row>
    <row r="35" spans="1:32" s="6" customFormat="1" ht="25" hidden="1" customHeight="1" x14ac:dyDescent="0.35">
      <c r="A35" s="43" t="s">
        <v>7</v>
      </c>
      <c r="B35" s="44">
        <v>57</v>
      </c>
      <c r="C35" s="44"/>
      <c r="D35" s="44">
        <v>57</v>
      </c>
      <c r="E35" s="44"/>
      <c r="F35" s="44">
        <v>209.9</v>
      </c>
      <c r="G35" s="44"/>
      <c r="H35" s="44"/>
      <c r="I35" s="44"/>
      <c r="J35" s="44"/>
      <c r="K35" s="45"/>
      <c r="L35" s="45"/>
      <c r="M35" s="45"/>
      <c r="N35" s="45"/>
      <c r="O35" s="46" t="s">
        <v>40</v>
      </c>
      <c r="P35" s="47"/>
      <c r="Q35" s="47"/>
      <c r="R35" s="44"/>
      <c r="S35" s="44"/>
      <c r="T35" s="7"/>
      <c r="U35" s="13"/>
      <c r="V35" s="13"/>
      <c r="W35" s="13"/>
      <c r="Z35" s="5"/>
      <c r="AA35" s="4"/>
      <c r="AB35" s="4"/>
      <c r="AD35" s="5"/>
      <c r="AE35" s="5"/>
      <c r="AF35" s="5"/>
    </row>
    <row r="36" spans="1:32" ht="25" hidden="1" customHeight="1" x14ac:dyDescent="0.35">
      <c r="A36" s="8"/>
      <c r="B36" s="29"/>
      <c r="C36" s="29"/>
      <c r="D36" s="29"/>
      <c r="E36" s="29"/>
      <c r="F36" s="29"/>
      <c r="G36" s="29"/>
      <c r="H36" s="29"/>
      <c r="I36" s="29"/>
      <c r="J36" s="29"/>
      <c r="K36" s="8"/>
      <c r="L36" s="8"/>
      <c r="M36" s="8"/>
      <c r="N36" s="8"/>
      <c r="O36" s="8"/>
      <c r="P36" s="8"/>
      <c r="Q36" s="8"/>
      <c r="R36" s="8"/>
      <c r="S36" s="30"/>
      <c r="T36" s="7"/>
      <c r="U36" s="8"/>
      <c r="V36" s="8"/>
      <c r="W36" s="8"/>
      <c r="Y36" s="6"/>
    </row>
    <row r="37" spans="1:32" ht="25" hidden="1" customHeight="1" x14ac:dyDescent="0.35">
      <c r="A37" s="8"/>
      <c r="B37" s="29"/>
      <c r="C37" s="29"/>
      <c r="D37" s="29"/>
      <c r="E37" s="29"/>
      <c r="F37" s="29"/>
      <c r="G37" s="29"/>
      <c r="H37" s="29"/>
      <c r="I37" s="29"/>
      <c r="J37" s="29"/>
      <c r="K37" s="8"/>
      <c r="L37" s="8"/>
      <c r="M37" s="8"/>
      <c r="N37" s="8"/>
      <c r="O37" s="8"/>
      <c r="P37" s="8"/>
      <c r="Q37" s="8"/>
      <c r="R37" s="8"/>
      <c r="S37" s="30"/>
      <c r="T37" s="7"/>
      <c r="U37" s="8"/>
      <c r="V37" s="8"/>
      <c r="W37" s="8"/>
      <c r="Y37" s="6"/>
    </row>
    <row r="38" spans="1:32" ht="25" hidden="1" customHeight="1" x14ac:dyDescent="0.35">
      <c r="A38" s="80" t="s">
        <v>13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7"/>
      <c r="U38" s="8"/>
      <c r="V38" s="8"/>
      <c r="W38" s="8"/>
    </row>
    <row r="39" spans="1:32" ht="25" hidden="1" customHeight="1" x14ac:dyDescent="0.35">
      <c r="A39" s="90" t="s">
        <v>44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  <c r="T39" s="7"/>
      <c r="U39" s="8"/>
      <c r="V39" s="8"/>
      <c r="W39" s="8"/>
    </row>
    <row r="40" spans="1:32" ht="25" hidden="1" customHeight="1" x14ac:dyDescent="0.35">
      <c r="A40" s="70" t="s">
        <v>38</v>
      </c>
      <c r="B40" s="76" t="s">
        <v>0</v>
      </c>
      <c r="C40" s="77"/>
      <c r="D40" s="74" t="s">
        <v>1</v>
      </c>
      <c r="E40" s="74" t="s">
        <v>16</v>
      </c>
      <c r="F40" s="74" t="s">
        <v>11</v>
      </c>
      <c r="G40" s="74" t="s">
        <v>17</v>
      </c>
      <c r="H40" s="74" t="s">
        <v>12</v>
      </c>
      <c r="I40" s="74" t="s">
        <v>18</v>
      </c>
      <c r="J40" s="74" t="s">
        <v>2</v>
      </c>
      <c r="K40" s="70" t="s">
        <v>3</v>
      </c>
      <c r="L40" s="68" t="s">
        <v>4</v>
      </c>
      <c r="M40" s="70" t="s">
        <v>5</v>
      </c>
      <c r="N40" s="70" t="s">
        <v>14</v>
      </c>
      <c r="O40" s="70" t="s">
        <v>6</v>
      </c>
      <c r="P40" s="70" t="s">
        <v>22</v>
      </c>
      <c r="Q40" s="70" t="s">
        <v>23</v>
      </c>
      <c r="R40" s="72" t="s">
        <v>19</v>
      </c>
      <c r="S40" s="73"/>
      <c r="T40" s="83"/>
      <c r="U40" s="84"/>
      <c r="V40" s="8"/>
      <c r="W40" s="8"/>
      <c r="Y40" s="82"/>
      <c r="Z40" s="82"/>
      <c r="AA40" s="81"/>
      <c r="AB40" s="81"/>
      <c r="AC40" s="82"/>
      <c r="AD40" s="82"/>
      <c r="AE40" s="82"/>
      <c r="AF40" s="82"/>
    </row>
    <row r="41" spans="1:32" ht="25" hidden="1" customHeight="1" x14ac:dyDescent="0.35">
      <c r="A41" s="71"/>
      <c r="B41" s="78"/>
      <c r="C41" s="79"/>
      <c r="D41" s="75"/>
      <c r="E41" s="75"/>
      <c r="F41" s="75"/>
      <c r="G41" s="75"/>
      <c r="H41" s="75"/>
      <c r="I41" s="75"/>
      <c r="J41" s="75"/>
      <c r="K41" s="71"/>
      <c r="L41" s="69"/>
      <c r="M41" s="71"/>
      <c r="N41" s="71"/>
      <c r="O41" s="71"/>
      <c r="P41" s="71"/>
      <c r="Q41" s="71"/>
      <c r="R41" s="86" t="s">
        <v>20</v>
      </c>
      <c r="S41" s="87"/>
      <c r="T41" s="83"/>
      <c r="U41" s="84"/>
      <c r="V41" s="8"/>
      <c r="W41" s="8"/>
      <c r="Y41" s="82"/>
      <c r="Z41" s="82"/>
      <c r="AA41" s="81"/>
      <c r="AB41" s="81"/>
      <c r="AC41" s="82"/>
      <c r="AD41" s="82"/>
      <c r="AE41" s="82"/>
      <c r="AF41" s="82"/>
    </row>
    <row r="42" spans="1:32" ht="25" hidden="1" customHeight="1" x14ac:dyDescent="0.35">
      <c r="A42" s="31" t="s">
        <v>15</v>
      </c>
      <c r="B42" s="32">
        <v>0</v>
      </c>
      <c r="C42" s="33"/>
      <c r="D42" s="32">
        <v>0</v>
      </c>
      <c r="E42" s="16">
        <f>F32</f>
        <v>81</v>
      </c>
      <c r="F42" s="14">
        <f>E42+D42</f>
        <v>81</v>
      </c>
      <c r="G42" s="16">
        <f>H32</f>
        <v>1900.0000000000002</v>
      </c>
      <c r="H42" s="14">
        <f>G42+D42</f>
        <v>1900.0000000000002</v>
      </c>
      <c r="I42" s="14">
        <f>J32</f>
        <v>196.4</v>
      </c>
      <c r="J42" s="14">
        <f>I42+D42</f>
        <v>196.4</v>
      </c>
      <c r="K42" s="35" t="s">
        <v>31</v>
      </c>
      <c r="L42" s="36" t="s">
        <v>33</v>
      </c>
      <c r="M42" s="31" t="s">
        <v>34</v>
      </c>
      <c r="N42" s="37">
        <v>8</v>
      </c>
      <c r="O42" s="36" t="s">
        <v>45</v>
      </c>
      <c r="P42" s="39">
        <v>0.5</v>
      </c>
      <c r="Q42" s="40">
        <v>0</v>
      </c>
      <c r="R42" s="41"/>
      <c r="S42" s="41"/>
      <c r="T42" s="1"/>
      <c r="U42" s="8"/>
      <c r="V42" s="8"/>
      <c r="W42" s="8"/>
      <c r="Y42" s="6"/>
    </row>
    <row r="43" spans="1:32" ht="25" hidden="1" customHeight="1" x14ac:dyDescent="0.35">
      <c r="A43" s="31" t="s">
        <v>9</v>
      </c>
      <c r="B43" s="32">
        <v>27</v>
      </c>
      <c r="C43" s="34">
        <v>18</v>
      </c>
      <c r="D43" s="32">
        <v>45</v>
      </c>
      <c r="E43" s="16">
        <f t="shared" ref="E43:E44" si="18">F33</f>
        <v>55.5</v>
      </c>
      <c r="F43" s="14">
        <f t="shared" ref="F43:F44" si="19">E43+D43</f>
        <v>100.5</v>
      </c>
      <c r="G43" s="16">
        <f t="shared" ref="G43:G44" si="20">H33</f>
        <v>1378.5</v>
      </c>
      <c r="H43" s="14">
        <f t="shared" ref="H43:H44" si="21">G43+D43</f>
        <v>1423.5</v>
      </c>
      <c r="I43" s="14">
        <f t="shared" ref="I43:I44" si="22">J33</f>
        <v>55.5</v>
      </c>
      <c r="J43" s="14">
        <f t="shared" ref="J43:J44" si="23">I43+D43</f>
        <v>100.5</v>
      </c>
      <c r="K43" s="35" t="s">
        <v>35</v>
      </c>
      <c r="L43" s="36" t="s">
        <v>33</v>
      </c>
      <c r="M43" s="31" t="s">
        <v>34</v>
      </c>
      <c r="N43" s="37"/>
      <c r="O43" s="36" t="s">
        <v>24</v>
      </c>
      <c r="P43" s="42">
        <v>0.5</v>
      </c>
      <c r="Q43" s="40">
        <v>14</v>
      </c>
      <c r="R43" s="41">
        <v>10</v>
      </c>
      <c r="S43" s="41">
        <v>10</v>
      </c>
      <c r="T43" s="1"/>
      <c r="U43" s="8"/>
      <c r="V43" s="8"/>
      <c r="W43" s="8"/>
      <c r="Y43" s="6"/>
    </row>
    <row r="44" spans="1:32" ht="25" hidden="1" customHeight="1" x14ac:dyDescent="0.35">
      <c r="A44" s="31" t="s">
        <v>10</v>
      </c>
      <c r="B44" s="32">
        <v>15</v>
      </c>
      <c r="C44" s="34"/>
      <c r="D44" s="32">
        <v>15</v>
      </c>
      <c r="E44" s="16">
        <f t="shared" si="18"/>
        <v>73.400000000000006</v>
      </c>
      <c r="F44" s="14">
        <f t="shared" si="19"/>
        <v>88.4</v>
      </c>
      <c r="G44" s="16">
        <f t="shared" si="20"/>
        <v>1754.4</v>
      </c>
      <c r="H44" s="14">
        <f t="shared" si="21"/>
        <v>1769.4</v>
      </c>
      <c r="I44" s="14">
        <f t="shared" si="22"/>
        <v>73.400000000000006</v>
      </c>
      <c r="J44" s="14">
        <f t="shared" si="23"/>
        <v>88.4</v>
      </c>
      <c r="K44" s="35" t="s">
        <v>32</v>
      </c>
      <c r="L44" s="36" t="s">
        <v>33</v>
      </c>
      <c r="M44" s="31" t="s">
        <v>34</v>
      </c>
      <c r="N44" s="37">
        <v>4</v>
      </c>
      <c r="O44" s="36" t="s">
        <v>30</v>
      </c>
      <c r="P44" s="39">
        <v>0.5</v>
      </c>
      <c r="Q44" s="40">
        <v>3</v>
      </c>
      <c r="R44" s="41">
        <v>10</v>
      </c>
      <c r="S44" s="41">
        <v>20</v>
      </c>
      <c r="T44" s="1"/>
      <c r="U44" s="8"/>
      <c r="V44" s="8"/>
      <c r="W44" s="8"/>
      <c r="Y44" s="6"/>
    </row>
    <row r="45" spans="1:32" s="6" customFormat="1" ht="25" hidden="1" customHeight="1" x14ac:dyDescent="0.35">
      <c r="A45" s="43" t="s">
        <v>7</v>
      </c>
      <c r="B45" s="44">
        <v>42</v>
      </c>
      <c r="C45" s="44">
        <v>18</v>
      </c>
      <c r="D45" s="44">
        <v>60</v>
      </c>
      <c r="E45" s="44">
        <v>209.9</v>
      </c>
      <c r="F45" s="44">
        <v>269.89999999999998</v>
      </c>
      <c r="G45" s="44">
        <v>5032.8999999999996</v>
      </c>
      <c r="H45" s="44">
        <v>5092.8999999999996</v>
      </c>
      <c r="I45" s="44"/>
      <c r="J45" s="44"/>
      <c r="K45" s="45"/>
      <c r="L45" s="45"/>
      <c r="M45" s="45"/>
      <c r="N45" s="45"/>
      <c r="O45" s="46" t="s">
        <v>40</v>
      </c>
      <c r="P45" s="47"/>
      <c r="Q45" s="47"/>
      <c r="R45" s="44"/>
      <c r="S45" s="44"/>
      <c r="T45" s="7"/>
      <c r="U45" s="13"/>
      <c r="V45" s="13"/>
      <c r="W45" s="13"/>
      <c r="Z45" s="5"/>
      <c r="AA45" s="4"/>
      <c r="AB45" s="4"/>
      <c r="AD45" s="5"/>
      <c r="AE45" s="5"/>
      <c r="AF45" s="5"/>
    </row>
    <row r="46" spans="1:32" ht="25" hidden="1" customHeight="1" x14ac:dyDescent="0.35">
      <c r="A46" s="8"/>
      <c r="B46" s="29"/>
      <c r="C46" s="29"/>
      <c r="D46" s="29"/>
      <c r="E46" s="29"/>
      <c r="F46" s="29"/>
      <c r="G46" s="29"/>
      <c r="H46" s="29"/>
      <c r="I46" s="29"/>
      <c r="J46" s="29"/>
      <c r="K46" s="8"/>
      <c r="L46" s="8"/>
      <c r="M46" s="8"/>
      <c r="N46" s="8"/>
      <c r="O46" s="8"/>
      <c r="P46" s="8"/>
      <c r="Q46" s="8"/>
      <c r="R46" s="8"/>
      <c r="S46" s="30"/>
      <c r="T46" s="7"/>
      <c r="U46" s="8"/>
      <c r="V46" s="8"/>
      <c r="W46" s="8"/>
      <c r="Y46" s="6"/>
    </row>
    <row r="47" spans="1:32" ht="25" hidden="1" customHeight="1" x14ac:dyDescent="0.35">
      <c r="A47" s="8"/>
      <c r="B47" s="29"/>
      <c r="C47" s="29"/>
      <c r="D47" s="29"/>
      <c r="E47" s="29"/>
      <c r="F47" s="29"/>
      <c r="G47" s="29"/>
      <c r="H47" s="29"/>
      <c r="I47" s="29"/>
      <c r="J47" s="29"/>
      <c r="K47" s="8"/>
      <c r="L47" s="8"/>
      <c r="M47" s="8"/>
      <c r="N47" s="8"/>
      <c r="O47" s="8"/>
      <c r="P47" s="8"/>
      <c r="Q47" s="8"/>
      <c r="R47" s="8"/>
      <c r="S47" s="30"/>
      <c r="T47" s="7"/>
      <c r="U47" s="8"/>
      <c r="V47" s="8"/>
      <c r="W47" s="8"/>
      <c r="Y47" s="6"/>
    </row>
    <row r="48" spans="1:32" ht="25" hidden="1" customHeight="1" x14ac:dyDescent="0.35">
      <c r="A48" s="80" t="s">
        <v>13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7"/>
      <c r="U48" s="8"/>
      <c r="V48" s="8"/>
      <c r="W48" s="8"/>
    </row>
    <row r="49" spans="1:32" ht="25" hidden="1" customHeight="1" x14ac:dyDescent="0.35">
      <c r="A49" s="66" t="s">
        <v>47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7"/>
      <c r="U49" s="8"/>
      <c r="V49" s="8"/>
      <c r="W49" s="8"/>
    </row>
    <row r="50" spans="1:32" ht="25" hidden="1" customHeight="1" x14ac:dyDescent="0.35">
      <c r="A50" s="70" t="s">
        <v>38</v>
      </c>
      <c r="B50" s="76" t="s">
        <v>0</v>
      </c>
      <c r="C50" s="77"/>
      <c r="D50" s="74" t="s">
        <v>1</v>
      </c>
      <c r="E50" s="74" t="s">
        <v>16</v>
      </c>
      <c r="F50" s="74" t="s">
        <v>11</v>
      </c>
      <c r="G50" s="74" t="s">
        <v>17</v>
      </c>
      <c r="H50" s="74" t="s">
        <v>12</v>
      </c>
      <c r="I50" s="74" t="s">
        <v>18</v>
      </c>
      <c r="J50" s="74" t="s">
        <v>2</v>
      </c>
      <c r="K50" s="70" t="s">
        <v>3</v>
      </c>
      <c r="L50" s="68" t="s">
        <v>4</v>
      </c>
      <c r="M50" s="70" t="s">
        <v>5</v>
      </c>
      <c r="N50" s="70" t="s">
        <v>14</v>
      </c>
      <c r="O50" s="70" t="s">
        <v>6</v>
      </c>
      <c r="P50" s="70" t="s">
        <v>22</v>
      </c>
      <c r="Q50" s="70" t="s">
        <v>23</v>
      </c>
      <c r="R50" s="72" t="s">
        <v>19</v>
      </c>
      <c r="S50" s="73"/>
      <c r="T50" s="83"/>
      <c r="U50" s="84"/>
      <c r="V50" s="8"/>
      <c r="W50" s="8"/>
      <c r="Y50" s="82"/>
      <c r="Z50" s="82"/>
      <c r="AA50" s="81"/>
      <c r="AB50" s="81"/>
      <c r="AC50" s="82"/>
      <c r="AD50" s="82"/>
      <c r="AE50" s="82"/>
      <c r="AF50" s="82"/>
    </row>
    <row r="51" spans="1:32" ht="25" hidden="1" customHeight="1" x14ac:dyDescent="0.35">
      <c r="A51" s="71"/>
      <c r="B51" s="78"/>
      <c r="C51" s="79"/>
      <c r="D51" s="75"/>
      <c r="E51" s="75"/>
      <c r="F51" s="75"/>
      <c r="G51" s="75"/>
      <c r="H51" s="75"/>
      <c r="I51" s="75"/>
      <c r="J51" s="75"/>
      <c r="K51" s="71"/>
      <c r="L51" s="69"/>
      <c r="M51" s="71"/>
      <c r="N51" s="71"/>
      <c r="O51" s="71"/>
      <c r="P51" s="71"/>
      <c r="Q51" s="71"/>
      <c r="R51" s="48" t="s">
        <v>21</v>
      </c>
      <c r="S51" s="49" t="s">
        <v>46</v>
      </c>
      <c r="T51" s="83"/>
      <c r="U51" s="84"/>
      <c r="V51" s="8"/>
      <c r="W51" s="8"/>
      <c r="Y51" s="82"/>
      <c r="Z51" s="82"/>
      <c r="AA51" s="81"/>
      <c r="AB51" s="81"/>
      <c r="AC51" s="82"/>
      <c r="AD51" s="82"/>
      <c r="AE51" s="82"/>
      <c r="AF51" s="82"/>
    </row>
    <row r="52" spans="1:32" ht="25" hidden="1" customHeight="1" x14ac:dyDescent="0.35">
      <c r="A52" s="31" t="s">
        <v>15</v>
      </c>
      <c r="B52" s="32">
        <v>0</v>
      </c>
      <c r="C52" s="33"/>
      <c r="D52" s="32">
        <v>0</v>
      </c>
      <c r="E52" s="16">
        <f>F42</f>
        <v>81</v>
      </c>
      <c r="F52" s="14">
        <f>E52+D52</f>
        <v>81</v>
      </c>
      <c r="G52" s="16">
        <f>H42</f>
        <v>1900.0000000000002</v>
      </c>
      <c r="H52" s="14">
        <f>G52+D52</f>
        <v>1900.0000000000002</v>
      </c>
      <c r="I52" s="14">
        <f>J42</f>
        <v>196.4</v>
      </c>
      <c r="J52" s="14">
        <f>I52+D52</f>
        <v>196.4</v>
      </c>
      <c r="K52" s="35" t="s">
        <v>31</v>
      </c>
      <c r="L52" s="36" t="s">
        <v>33</v>
      </c>
      <c r="M52" s="31" t="s">
        <v>34</v>
      </c>
      <c r="N52" s="37">
        <v>10</v>
      </c>
      <c r="O52" s="36" t="s">
        <v>50</v>
      </c>
      <c r="P52" s="39">
        <v>0.5</v>
      </c>
      <c r="Q52" s="40">
        <v>0</v>
      </c>
      <c r="R52" s="41"/>
      <c r="S52" s="41"/>
      <c r="T52" s="1"/>
      <c r="U52" s="8"/>
      <c r="V52" s="8"/>
      <c r="W52" s="8"/>
      <c r="Y52" s="6"/>
    </row>
    <row r="53" spans="1:32" ht="25" hidden="1" customHeight="1" x14ac:dyDescent="0.35">
      <c r="A53" s="31" t="s">
        <v>9</v>
      </c>
      <c r="B53" s="32">
        <v>24</v>
      </c>
      <c r="C53" s="34"/>
      <c r="D53" s="32">
        <v>24</v>
      </c>
      <c r="E53" s="16">
        <f t="shared" ref="E53:E54" si="24">F43</f>
        <v>100.5</v>
      </c>
      <c r="F53" s="14">
        <f t="shared" ref="F53:F54" si="25">E53+D53</f>
        <v>124.5</v>
      </c>
      <c r="G53" s="16">
        <f t="shared" ref="G53:G54" si="26">H43</f>
        <v>1423.5</v>
      </c>
      <c r="H53" s="14">
        <f t="shared" ref="H53:H54" si="27">G53+D53</f>
        <v>1447.5</v>
      </c>
      <c r="I53" s="14">
        <f t="shared" ref="I53:I54" si="28">J43</f>
        <v>100.5</v>
      </c>
      <c r="J53" s="14">
        <f t="shared" ref="J53:J54" si="29">I53+D53</f>
        <v>124.5</v>
      </c>
      <c r="K53" s="35" t="s">
        <v>35</v>
      </c>
      <c r="L53" s="36" t="s">
        <v>33</v>
      </c>
      <c r="M53" s="31" t="s">
        <v>34</v>
      </c>
      <c r="N53" s="37"/>
      <c r="O53" s="36" t="s">
        <v>24</v>
      </c>
      <c r="P53" s="42">
        <v>0.5</v>
      </c>
      <c r="Q53" s="40">
        <v>10</v>
      </c>
      <c r="R53" s="41">
        <v>20</v>
      </c>
      <c r="S53" s="41">
        <v>10</v>
      </c>
      <c r="T53" s="1"/>
      <c r="U53" s="8"/>
      <c r="V53" s="8"/>
      <c r="W53" s="8"/>
      <c r="Y53" s="6"/>
    </row>
    <row r="54" spans="1:32" ht="25" hidden="1" customHeight="1" x14ac:dyDescent="0.35">
      <c r="A54" s="31" t="s">
        <v>10</v>
      </c>
      <c r="B54" s="32">
        <v>21</v>
      </c>
      <c r="C54" s="34"/>
      <c r="D54" s="32">
        <v>21</v>
      </c>
      <c r="E54" s="16">
        <f t="shared" si="24"/>
        <v>88.4</v>
      </c>
      <c r="F54" s="14">
        <f t="shared" si="25"/>
        <v>109.4</v>
      </c>
      <c r="G54" s="16">
        <f t="shared" si="26"/>
        <v>1769.4</v>
      </c>
      <c r="H54" s="14">
        <f t="shared" si="27"/>
        <v>1790.4</v>
      </c>
      <c r="I54" s="14">
        <f t="shared" si="28"/>
        <v>88.4</v>
      </c>
      <c r="J54" s="14">
        <f t="shared" si="29"/>
        <v>109.4</v>
      </c>
      <c r="K54" s="35" t="s">
        <v>32</v>
      </c>
      <c r="L54" s="36" t="s">
        <v>33</v>
      </c>
      <c r="M54" s="31" t="s">
        <v>34</v>
      </c>
      <c r="N54" s="37">
        <v>4</v>
      </c>
      <c r="O54" s="36" t="s">
        <v>48</v>
      </c>
      <c r="P54" s="39">
        <v>0.5</v>
      </c>
      <c r="Q54" s="40">
        <v>6</v>
      </c>
      <c r="R54" s="41">
        <v>20</v>
      </c>
      <c r="S54" s="41">
        <v>10</v>
      </c>
      <c r="T54" s="1"/>
      <c r="U54" s="8"/>
      <c r="V54" s="8"/>
      <c r="W54" s="8"/>
      <c r="Y54" s="6"/>
    </row>
    <row r="55" spans="1:32" s="6" customFormat="1" ht="25" hidden="1" customHeight="1" x14ac:dyDescent="0.35">
      <c r="A55" s="43" t="s">
        <v>7</v>
      </c>
      <c r="B55" s="44">
        <v>45</v>
      </c>
      <c r="C55" s="44">
        <v>0</v>
      </c>
      <c r="D55" s="44">
        <v>45</v>
      </c>
      <c r="E55" s="44">
        <v>269.89999999999998</v>
      </c>
      <c r="F55" s="44">
        <v>314.89999999999998</v>
      </c>
      <c r="G55" s="44">
        <v>5092.8999999999996</v>
      </c>
      <c r="H55" s="44">
        <v>5137.8999999999996</v>
      </c>
      <c r="I55" s="44"/>
      <c r="J55" s="44"/>
      <c r="K55" s="45"/>
      <c r="L55" s="45"/>
      <c r="M55" s="45"/>
      <c r="N55" s="45"/>
      <c r="O55" s="46" t="s">
        <v>49</v>
      </c>
      <c r="P55" s="47"/>
      <c r="Q55" s="47"/>
      <c r="R55" s="44"/>
      <c r="S55" s="44"/>
      <c r="T55" s="7"/>
      <c r="U55" s="13"/>
      <c r="V55" s="13"/>
      <c r="W55" s="13"/>
      <c r="Z55" s="5"/>
      <c r="AA55" s="4"/>
      <c r="AB55" s="4"/>
      <c r="AD55" s="5"/>
      <c r="AE55" s="5"/>
      <c r="AF55" s="5"/>
    </row>
    <row r="56" spans="1:32" ht="25" hidden="1" customHeight="1" x14ac:dyDescent="0.35">
      <c r="A56" s="8"/>
      <c r="B56" s="29"/>
      <c r="C56" s="29"/>
      <c r="D56" s="29"/>
      <c r="E56" s="29"/>
      <c r="F56" s="29"/>
      <c r="G56" s="29"/>
      <c r="H56" s="29"/>
      <c r="I56" s="29"/>
      <c r="J56" s="29"/>
      <c r="K56" s="8"/>
      <c r="L56" s="8"/>
      <c r="M56" s="8"/>
      <c r="N56" s="8"/>
      <c r="O56" s="8"/>
      <c r="P56" s="8"/>
      <c r="Q56" s="8"/>
      <c r="R56" s="8"/>
      <c r="S56" s="30"/>
      <c r="T56" s="7"/>
      <c r="U56" s="8"/>
      <c r="V56" s="8"/>
      <c r="W56" s="8"/>
    </row>
    <row r="57" spans="1:32" ht="25" hidden="1" customHeight="1" x14ac:dyDescent="0.35">
      <c r="A57" s="8"/>
      <c r="B57" s="29"/>
      <c r="C57" s="29"/>
      <c r="D57" s="29"/>
      <c r="E57" s="29"/>
      <c r="F57" s="29"/>
      <c r="G57" s="29"/>
      <c r="H57" s="29"/>
      <c r="I57" s="29"/>
      <c r="J57" s="29"/>
      <c r="K57" s="8"/>
      <c r="L57" s="8"/>
      <c r="M57" s="8"/>
      <c r="N57" s="8"/>
      <c r="O57" s="8"/>
      <c r="P57" s="8"/>
      <c r="Q57" s="8"/>
      <c r="R57" s="8"/>
      <c r="S57" s="30"/>
      <c r="T57" s="7"/>
      <c r="U57" s="8"/>
      <c r="V57" s="8"/>
      <c r="W57" s="8"/>
    </row>
    <row r="58" spans="1:32" ht="25" hidden="1" customHeight="1" x14ac:dyDescent="0.35">
      <c r="A58" s="80" t="s">
        <v>13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7"/>
      <c r="U58" s="8"/>
      <c r="V58" s="8"/>
      <c r="W58" s="8"/>
    </row>
    <row r="59" spans="1:32" ht="25" hidden="1" customHeight="1" x14ac:dyDescent="0.35">
      <c r="A59" s="66" t="s">
        <v>51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7"/>
      <c r="U59" s="8"/>
      <c r="V59" s="8"/>
      <c r="W59" s="8"/>
    </row>
    <row r="60" spans="1:32" ht="25" hidden="1" customHeight="1" x14ac:dyDescent="0.35">
      <c r="A60" s="70" t="s">
        <v>38</v>
      </c>
      <c r="B60" s="76" t="s">
        <v>0</v>
      </c>
      <c r="C60" s="77"/>
      <c r="D60" s="74" t="s">
        <v>1</v>
      </c>
      <c r="E60" s="74" t="s">
        <v>16</v>
      </c>
      <c r="F60" s="74" t="s">
        <v>11</v>
      </c>
      <c r="G60" s="74" t="s">
        <v>17</v>
      </c>
      <c r="H60" s="74" t="s">
        <v>12</v>
      </c>
      <c r="I60" s="74" t="s">
        <v>18</v>
      </c>
      <c r="J60" s="74" t="s">
        <v>2</v>
      </c>
      <c r="K60" s="70" t="s">
        <v>3</v>
      </c>
      <c r="L60" s="68" t="s">
        <v>4</v>
      </c>
      <c r="M60" s="70" t="s">
        <v>5</v>
      </c>
      <c r="N60" s="70" t="s">
        <v>14</v>
      </c>
      <c r="O60" s="70" t="s">
        <v>6</v>
      </c>
      <c r="P60" s="70" t="s">
        <v>22</v>
      </c>
      <c r="Q60" s="70" t="s">
        <v>23</v>
      </c>
      <c r="R60" s="72" t="s">
        <v>19</v>
      </c>
      <c r="S60" s="73"/>
      <c r="T60" s="83"/>
      <c r="U60" s="84"/>
      <c r="V60" s="8"/>
      <c r="W60" s="8"/>
      <c r="Y60" s="82"/>
      <c r="Z60" s="82"/>
      <c r="AA60" s="81"/>
      <c r="AB60" s="81"/>
      <c r="AC60" s="82"/>
      <c r="AD60" s="82"/>
      <c r="AE60" s="82"/>
      <c r="AF60" s="82"/>
    </row>
    <row r="61" spans="1:32" ht="25" hidden="1" customHeight="1" x14ac:dyDescent="0.35">
      <c r="A61" s="71"/>
      <c r="B61" s="78"/>
      <c r="C61" s="79"/>
      <c r="D61" s="75"/>
      <c r="E61" s="75"/>
      <c r="F61" s="75"/>
      <c r="G61" s="75"/>
      <c r="H61" s="75"/>
      <c r="I61" s="75"/>
      <c r="J61" s="75"/>
      <c r="K61" s="71"/>
      <c r="L61" s="69"/>
      <c r="M61" s="71"/>
      <c r="N61" s="71"/>
      <c r="O61" s="71"/>
      <c r="P61" s="71"/>
      <c r="Q61" s="71"/>
      <c r="R61" s="48" t="s">
        <v>21</v>
      </c>
      <c r="S61" s="49" t="s">
        <v>46</v>
      </c>
      <c r="T61" s="83"/>
      <c r="U61" s="84"/>
      <c r="V61" s="8"/>
      <c r="W61" s="8"/>
      <c r="Y61" s="82"/>
      <c r="Z61" s="82"/>
      <c r="AA61" s="81"/>
      <c r="AB61" s="81"/>
      <c r="AC61" s="82"/>
      <c r="AD61" s="82"/>
      <c r="AE61" s="82"/>
      <c r="AF61" s="82"/>
    </row>
    <row r="62" spans="1:32" ht="25" hidden="1" customHeight="1" x14ac:dyDescent="0.35">
      <c r="A62" s="31" t="s">
        <v>15</v>
      </c>
      <c r="B62" s="32">
        <v>0</v>
      </c>
      <c r="C62" s="33"/>
      <c r="D62" s="32">
        <v>0</v>
      </c>
      <c r="E62" s="16">
        <f>F52</f>
        <v>81</v>
      </c>
      <c r="F62" s="14">
        <f>E62+D62</f>
        <v>81</v>
      </c>
      <c r="G62" s="16">
        <f>H52</f>
        <v>1900.0000000000002</v>
      </c>
      <c r="H62" s="14">
        <f>G62+D62</f>
        <v>1900.0000000000002</v>
      </c>
      <c r="I62" s="14">
        <f>J52</f>
        <v>196.4</v>
      </c>
      <c r="J62" s="14">
        <f>I62+D62</f>
        <v>196.4</v>
      </c>
      <c r="K62" s="35" t="s">
        <v>31</v>
      </c>
      <c r="L62" s="36" t="s">
        <v>33</v>
      </c>
      <c r="M62" s="31" t="s">
        <v>34</v>
      </c>
      <c r="N62" s="37">
        <v>10</v>
      </c>
      <c r="O62" s="36" t="s">
        <v>50</v>
      </c>
      <c r="P62" s="39">
        <v>0.5</v>
      </c>
      <c r="Q62" s="40">
        <v>0</v>
      </c>
      <c r="R62" s="41"/>
      <c r="S62" s="41"/>
      <c r="T62" s="1"/>
      <c r="U62" s="8"/>
      <c r="V62" s="8"/>
      <c r="W62" s="8"/>
      <c r="Y62" s="6"/>
    </row>
    <row r="63" spans="1:32" ht="25" hidden="1" customHeight="1" x14ac:dyDescent="0.35">
      <c r="A63" s="31" t="s">
        <v>9</v>
      </c>
      <c r="B63" s="32">
        <v>24</v>
      </c>
      <c r="C63" s="34"/>
      <c r="D63" s="32">
        <v>24</v>
      </c>
      <c r="E63" s="16">
        <f t="shared" ref="E63:E64" si="30">F53</f>
        <v>124.5</v>
      </c>
      <c r="F63" s="14">
        <f t="shared" ref="F63:F64" si="31">E63+D63</f>
        <v>148.5</v>
      </c>
      <c r="G63" s="16">
        <f t="shared" ref="G63:G64" si="32">H53</f>
        <v>1447.5</v>
      </c>
      <c r="H63" s="14">
        <f t="shared" ref="H63:H64" si="33">G63+D63</f>
        <v>1471.5</v>
      </c>
      <c r="I63" s="14">
        <f t="shared" ref="I63:I64" si="34">J53</f>
        <v>124.5</v>
      </c>
      <c r="J63" s="14">
        <f t="shared" ref="J63:J64" si="35">I63+D63</f>
        <v>148.5</v>
      </c>
      <c r="K63" s="35" t="s">
        <v>35</v>
      </c>
      <c r="L63" s="36" t="s">
        <v>33</v>
      </c>
      <c r="M63" s="31" t="s">
        <v>34</v>
      </c>
      <c r="N63" s="37"/>
      <c r="O63" s="36" t="s">
        <v>24</v>
      </c>
      <c r="P63" s="42">
        <v>0.5</v>
      </c>
      <c r="Q63" s="40">
        <v>10</v>
      </c>
      <c r="R63" s="41">
        <v>20</v>
      </c>
      <c r="S63" s="41">
        <v>10</v>
      </c>
      <c r="T63" s="1"/>
      <c r="U63" s="8"/>
      <c r="V63" s="8"/>
      <c r="W63" s="8"/>
      <c r="Y63" s="6"/>
    </row>
    <row r="64" spans="1:32" ht="25" hidden="1" customHeight="1" x14ac:dyDescent="0.35">
      <c r="A64" s="31" t="s">
        <v>10</v>
      </c>
      <c r="B64" s="32">
        <v>0</v>
      </c>
      <c r="C64" s="34"/>
      <c r="D64" s="32">
        <v>0</v>
      </c>
      <c r="E64" s="16">
        <f t="shared" si="30"/>
        <v>109.4</v>
      </c>
      <c r="F64" s="14">
        <f t="shared" si="31"/>
        <v>109.4</v>
      </c>
      <c r="G64" s="16">
        <f t="shared" si="32"/>
        <v>1790.4</v>
      </c>
      <c r="H64" s="14">
        <f t="shared" si="33"/>
        <v>1790.4</v>
      </c>
      <c r="I64" s="14">
        <f t="shared" si="34"/>
        <v>109.4</v>
      </c>
      <c r="J64" s="14">
        <f t="shared" si="35"/>
        <v>109.4</v>
      </c>
      <c r="K64" s="35" t="s">
        <v>32</v>
      </c>
      <c r="L64" s="36" t="s">
        <v>33</v>
      </c>
      <c r="M64" s="31" t="s">
        <v>34</v>
      </c>
      <c r="N64" s="37">
        <v>10</v>
      </c>
      <c r="O64" s="36" t="s">
        <v>52</v>
      </c>
      <c r="P64" s="39">
        <v>0.5</v>
      </c>
      <c r="Q64" s="40">
        <v>0</v>
      </c>
      <c r="R64" s="41"/>
      <c r="S64" s="41"/>
      <c r="T64" s="1"/>
      <c r="U64" s="8"/>
      <c r="V64" s="8"/>
      <c r="W64" s="8"/>
      <c r="Y64" s="6"/>
    </row>
    <row r="65" spans="1:32" s="6" customFormat="1" ht="25" hidden="1" customHeight="1" x14ac:dyDescent="0.35">
      <c r="A65" s="43" t="s">
        <v>7</v>
      </c>
      <c r="B65" s="44">
        <v>24</v>
      </c>
      <c r="C65" s="44"/>
      <c r="D65" s="44">
        <v>24</v>
      </c>
      <c r="E65" s="44">
        <v>314.89999999999998</v>
      </c>
      <c r="F65" s="44">
        <v>338.9</v>
      </c>
      <c r="G65" s="44">
        <v>5137.8999999999996</v>
      </c>
      <c r="H65" s="44">
        <v>5161.8999999999996</v>
      </c>
      <c r="I65" s="44"/>
      <c r="J65" s="44"/>
      <c r="K65" s="45"/>
      <c r="L65" s="45"/>
      <c r="M65" s="45"/>
      <c r="N65" s="45"/>
      <c r="O65" s="46" t="s">
        <v>49</v>
      </c>
      <c r="P65" s="47"/>
      <c r="Q65" s="47"/>
      <c r="R65" s="44"/>
      <c r="S65" s="44"/>
      <c r="T65" s="7"/>
      <c r="U65" s="13"/>
      <c r="V65" s="13"/>
      <c r="W65" s="13"/>
      <c r="Z65" s="5"/>
      <c r="AA65" s="4"/>
      <c r="AB65" s="4"/>
      <c r="AD65" s="5"/>
      <c r="AE65" s="5"/>
      <c r="AF65" s="5"/>
    </row>
    <row r="66" spans="1:32" ht="25" hidden="1" customHeight="1" x14ac:dyDescent="0.35"/>
    <row r="67" spans="1:32" ht="25" hidden="1" customHeight="1" x14ac:dyDescent="0.35"/>
    <row r="68" spans="1:32" ht="12.75" hidden="1" customHeight="1" x14ac:dyDescent="0.35">
      <c r="A68" s="80" t="s">
        <v>13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7"/>
      <c r="U68" s="8"/>
      <c r="V68" s="8"/>
      <c r="W68" s="8"/>
    </row>
    <row r="69" spans="1:32" hidden="1" x14ac:dyDescent="0.35">
      <c r="A69" s="66" t="s">
        <v>53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7"/>
      <c r="U69" s="8"/>
      <c r="V69" s="8"/>
      <c r="W69" s="8"/>
    </row>
    <row r="70" spans="1:32" hidden="1" x14ac:dyDescent="0.35">
      <c r="A70" s="70" t="s">
        <v>38</v>
      </c>
      <c r="B70" s="76" t="s">
        <v>0</v>
      </c>
      <c r="C70" s="77"/>
      <c r="D70" s="74" t="s">
        <v>1</v>
      </c>
      <c r="E70" s="74" t="s">
        <v>16</v>
      </c>
      <c r="F70" s="74" t="s">
        <v>11</v>
      </c>
      <c r="G70" s="74" t="s">
        <v>17</v>
      </c>
      <c r="H70" s="74" t="s">
        <v>12</v>
      </c>
      <c r="I70" s="74" t="s">
        <v>18</v>
      </c>
      <c r="J70" s="74" t="s">
        <v>2</v>
      </c>
      <c r="K70" s="70" t="s">
        <v>3</v>
      </c>
      <c r="L70" s="68" t="s">
        <v>4</v>
      </c>
      <c r="M70" s="70" t="s">
        <v>5</v>
      </c>
      <c r="N70" s="70" t="s">
        <v>14</v>
      </c>
      <c r="O70" s="70" t="s">
        <v>6</v>
      </c>
      <c r="P70" s="70" t="s">
        <v>22</v>
      </c>
      <c r="Q70" s="70" t="s">
        <v>23</v>
      </c>
      <c r="R70" s="72" t="s">
        <v>19</v>
      </c>
      <c r="S70" s="73"/>
      <c r="T70" s="83"/>
      <c r="U70" s="84"/>
      <c r="V70" s="8"/>
      <c r="W70" s="8"/>
      <c r="Y70" s="82"/>
      <c r="Z70" s="82"/>
      <c r="AA70" s="81"/>
      <c r="AB70" s="81"/>
      <c r="AC70" s="82"/>
      <c r="AD70" s="82"/>
      <c r="AE70" s="82"/>
      <c r="AF70" s="82"/>
    </row>
    <row r="71" spans="1:32" hidden="1" x14ac:dyDescent="0.35">
      <c r="A71" s="71"/>
      <c r="B71" s="78"/>
      <c r="C71" s="79"/>
      <c r="D71" s="75"/>
      <c r="E71" s="75"/>
      <c r="F71" s="75"/>
      <c r="G71" s="75"/>
      <c r="H71" s="75"/>
      <c r="I71" s="75"/>
      <c r="J71" s="75"/>
      <c r="K71" s="71"/>
      <c r="L71" s="69"/>
      <c r="M71" s="71"/>
      <c r="N71" s="71"/>
      <c r="O71" s="71"/>
      <c r="P71" s="71"/>
      <c r="Q71" s="71"/>
      <c r="R71" s="48" t="s">
        <v>21</v>
      </c>
      <c r="S71" s="49" t="s">
        <v>46</v>
      </c>
      <c r="T71" s="83"/>
      <c r="U71" s="84"/>
      <c r="V71" s="8"/>
      <c r="W71" s="8"/>
      <c r="Y71" s="82"/>
      <c r="Z71" s="82"/>
      <c r="AA71" s="81"/>
      <c r="AB71" s="81"/>
      <c r="AC71" s="82"/>
      <c r="AD71" s="82"/>
      <c r="AE71" s="82"/>
      <c r="AF71" s="82"/>
    </row>
    <row r="72" spans="1:32" ht="29" hidden="1" x14ac:dyDescent="0.35">
      <c r="A72" s="31" t="s">
        <v>15</v>
      </c>
      <c r="B72" s="32">
        <v>0</v>
      </c>
      <c r="C72" s="33"/>
      <c r="D72" s="32">
        <v>0</v>
      </c>
      <c r="E72" s="16">
        <f>F62</f>
        <v>81</v>
      </c>
      <c r="F72" s="14">
        <f>E72+D72</f>
        <v>81</v>
      </c>
      <c r="G72" s="16">
        <f>H62</f>
        <v>1900.0000000000002</v>
      </c>
      <c r="H72" s="14">
        <f>G72+D72</f>
        <v>1900.0000000000002</v>
      </c>
      <c r="I72" s="14">
        <f>J62</f>
        <v>196.4</v>
      </c>
      <c r="J72" s="14">
        <f>I72+D72</f>
        <v>196.4</v>
      </c>
      <c r="K72" s="35" t="s">
        <v>31</v>
      </c>
      <c r="L72" s="36" t="s">
        <v>33</v>
      </c>
      <c r="M72" s="31" t="s">
        <v>34</v>
      </c>
      <c r="N72" s="37">
        <v>12</v>
      </c>
      <c r="O72" s="36" t="s">
        <v>50</v>
      </c>
      <c r="P72" s="39">
        <v>0.5</v>
      </c>
      <c r="Q72" s="40">
        <v>0</v>
      </c>
      <c r="R72" s="41"/>
      <c r="S72" s="41"/>
      <c r="T72" s="1"/>
      <c r="U72" s="8"/>
      <c r="V72" s="8"/>
      <c r="W72" s="8"/>
      <c r="Y72" s="6"/>
    </row>
    <row r="73" spans="1:32" ht="29" hidden="1" x14ac:dyDescent="0.35">
      <c r="A73" s="31" t="s">
        <v>9</v>
      </c>
      <c r="B73" s="32">
        <v>21</v>
      </c>
      <c r="C73" s="34"/>
      <c r="D73" s="32">
        <v>21</v>
      </c>
      <c r="E73" s="16">
        <f t="shared" ref="E73:E74" si="36">F63</f>
        <v>148.5</v>
      </c>
      <c r="F73" s="14">
        <f t="shared" ref="F73:F74" si="37">E73+D73</f>
        <v>169.5</v>
      </c>
      <c r="G73" s="16">
        <f t="shared" ref="G73:G74" si="38">H63</f>
        <v>1471.5</v>
      </c>
      <c r="H73" s="14">
        <f t="shared" ref="H73:H74" si="39">G73+D73</f>
        <v>1492.5</v>
      </c>
      <c r="I73" s="14">
        <f t="shared" ref="I73:I74" si="40">J63</f>
        <v>148.5</v>
      </c>
      <c r="J73" s="14">
        <f t="shared" ref="J73:J74" si="41">I73+D73</f>
        <v>169.5</v>
      </c>
      <c r="K73" s="35" t="s">
        <v>35</v>
      </c>
      <c r="L73" s="36" t="s">
        <v>33</v>
      </c>
      <c r="M73" s="31" t="s">
        <v>34</v>
      </c>
      <c r="N73" s="37"/>
      <c r="O73" s="36" t="s">
        <v>24</v>
      </c>
      <c r="P73" s="42">
        <v>0.5</v>
      </c>
      <c r="Q73" s="40">
        <v>10</v>
      </c>
      <c r="R73" s="41">
        <v>20</v>
      </c>
      <c r="S73" s="41">
        <v>10</v>
      </c>
      <c r="T73" s="1"/>
      <c r="U73" s="8"/>
      <c r="V73" s="8"/>
      <c r="W73" s="8"/>
      <c r="Y73" s="6"/>
    </row>
    <row r="74" spans="1:32" ht="29" hidden="1" x14ac:dyDescent="0.35">
      <c r="A74" s="31" t="s">
        <v>10</v>
      </c>
      <c r="B74" s="32">
        <v>21</v>
      </c>
      <c r="C74" s="34"/>
      <c r="D74" s="32">
        <v>21</v>
      </c>
      <c r="E74" s="16">
        <f t="shared" si="36"/>
        <v>109.4</v>
      </c>
      <c r="F74" s="14">
        <f t="shared" si="37"/>
        <v>130.4</v>
      </c>
      <c r="G74" s="16">
        <f t="shared" si="38"/>
        <v>1790.4</v>
      </c>
      <c r="H74" s="14">
        <f t="shared" si="39"/>
        <v>1811.4</v>
      </c>
      <c r="I74" s="14">
        <f t="shared" si="40"/>
        <v>109.4</v>
      </c>
      <c r="J74" s="14">
        <f t="shared" si="41"/>
        <v>130.4</v>
      </c>
      <c r="K74" s="35" t="s">
        <v>32</v>
      </c>
      <c r="L74" s="36" t="s">
        <v>33</v>
      </c>
      <c r="M74" s="31" t="s">
        <v>34</v>
      </c>
      <c r="N74" s="37">
        <v>2</v>
      </c>
      <c r="O74" s="36" t="s">
        <v>54</v>
      </c>
      <c r="P74" s="39">
        <v>0.5</v>
      </c>
      <c r="Q74" s="40">
        <v>10</v>
      </c>
      <c r="R74" s="41">
        <v>20</v>
      </c>
      <c r="S74" s="41">
        <v>10</v>
      </c>
      <c r="T74" s="1"/>
      <c r="U74" s="8"/>
      <c r="V74" s="8"/>
      <c r="W74" s="8"/>
      <c r="Y74" s="6"/>
    </row>
    <row r="75" spans="1:32" s="6" customFormat="1" hidden="1" x14ac:dyDescent="0.35">
      <c r="A75" s="43" t="s">
        <v>7</v>
      </c>
      <c r="B75" s="44">
        <v>42</v>
      </c>
      <c r="C75" s="44"/>
      <c r="D75" s="44">
        <v>42</v>
      </c>
      <c r="E75" s="44">
        <v>338.9</v>
      </c>
      <c r="F75" s="44">
        <v>380.9</v>
      </c>
      <c r="G75" s="44">
        <v>5161.8999999999996</v>
      </c>
      <c r="H75" s="44">
        <v>5203.8999999999996</v>
      </c>
      <c r="I75" s="44"/>
      <c r="J75" s="44"/>
      <c r="K75" s="45"/>
      <c r="L75" s="45"/>
      <c r="M75" s="45"/>
      <c r="N75" s="45"/>
      <c r="O75" s="46" t="s">
        <v>49</v>
      </c>
      <c r="P75" s="47"/>
      <c r="Q75" s="47"/>
      <c r="R75" s="44"/>
      <c r="S75" s="44"/>
      <c r="T75" s="7"/>
      <c r="U75" s="13"/>
      <c r="V75" s="13"/>
      <c r="W75" s="13"/>
      <c r="Z75" s="5"/>
      <c r="AA75" s="4"/>
      <c r="AB75" s="4"/>
      <c r="AD75" s="5"/>
      <c r="AE75" s="5"/>
      <c r="AF75" s="5"/>
    </row>
    <row r="76" spans="1:32" hidden="1" x14ac:dyDescent="0.35"/>
    <row r="77" spans="1:32" hidden="1" x14ac:dyDescent="0.35"/>
    <row r="78" spans="1:32" ht="12.75" hidden="1" customHeight="1" x14ac:dyDescent="0.35">
      <c r="A78" s="80" t="s">
        <v>13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7"/>
      <c r="U78" s="8"/>
      <c r="V78" s="8"/>
      <c r="W78" s="8"/>
    </row>
    <row r="79" spans="1:32" hidden="1" x14ac:dyDescent="0.35">
      <c r="A79" s="66" t="s">
        <v>55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7"/>
      <c r="U79" s="8"/>
      <c r="V79" s="8"/>
      <c r="W79" s="8"/>
    </row>
    <row r="80" spans="1:32" hidden="1" x14ac:dyDescent="0.35">
      <c r="A80" s="70" t="s">
        <v>38</v>
      </c>
      <c r="B80" s="76" t="s">
        <v>0</v>
      </c>
      <c r="C80" s="77"/>
      <c r="D80" s="74" t="s">
        <v>1</v>
      </c>
      <c r="E80" s="74" t="s">
        <v>16</v>
      </c>
      <c r="F80" s="74" t="s">
        <v>11</v>
      </c>
      <c r="G80" s="74" t="s">
        <v>17</v>
      </c>
      <c r="H80" s="74" t="s">
        <v>12</v>
      </c>
      <c r="I80" s="74" t="s">
        <v>18</v>
      </c>
      <c r="J80" s="74" t="s">
        <v>2</v>
      </c>
      <c r="K80" s="70" t="s">
        <v>3</v>
      </c>
      <c r="L80" s="68" t="s">
        <v>4</v>
      </c>
      <c r="M80" s="70" t="s">
        <v>5</v>
      </c>
      <c r="N80" s="70" t="s">
        <v>14</v>
      </c>
      <c r="O80" s="70" t="s">
        <v>6</v>
      </c>
      <c r="P80" s="70" t="s">
        <v>22</v>
      </c>
      <c r="Q80" s="70" t="s">
        <v>23</v>
      </c>
      <c r="R80" s="72" t="s">
        <v>19</v>
      </c>
      <c r="S80" s="73"/>
      <c r="T80" s="83"/>
      <c r="U80" s="84"/>
      <c r="V80" s="8"/>
      <c r="W80" s="8"/>
      <c r="Y80" s="82"/>
      <c r="Z80" s="82"/>
      <c r="AA80" s="81"/>
      <c r="AB80" s="81"/>
      <c r="AC80" s="82"/>
      <c r="AD80" s="82"/>
      <c r="AE80" s="82"/>
      <c r="AF80" s="82"/>
    </row>
    <row r="81" spans="1:32" hidden="1" x14ac:dyDescent="0.35">
      <c r="A81" s="71"/>
      <c r="B81" s="78"/>
      <c r="C81" s="79"/>
      <c r="D81" s="75"/>
      <c r="E81" s="75"/>
      <c r="F81" s="75"/>
      <c r="G81" s="75"/>
      <c r="H81" s="75"/>
      <c r="I81" s="75"/>
      <c r="J81" s="75"/>
      <c r="K81" s="71"/>
      <c r="L81" s="69"/>
      <c r="M81" s="71"/>
      <c r="N81" s="71"/>
      <c r="O81" s="71"/>
      <c r="P81" s="71"/>
      <c r="Q81" s="71"/>
      <c r="R81" s="48" t="s">
        <v>21</v>
      </c>
      <c r="S81" s="49" t="s">
        <v>46</v>
      </c>
      <c r="T81" s="83"/>
      <c r="U81" s="84"/>
      <c r="V81" s="8"/>
      <c r="W81" s="8"/>
      <c r="Y81" s="82"/>
      <c r="Z81" s="82"/>
      <c r="AA81" s="81"/>
      <c r="AB81" s="81"/>
      <c r="AC81" s="82"/>
      <c r="AD81" s="82"/>
      <c r="AE81" s="82"/>
      <c r="AF81" s="82"/>
    </row>
    <row r="82" spans="1:32" ht="29" hidden="1" x14ac:dyDescent="0.35">
      <c r="A82" s="31" t="s">
        <v>15</v>
      </c>
      <c r="B82" s="32">
        <v>0</v>
      </c>
      <c r="C82" s="33"/>
      <c r="D82" s="32">
        <v>0</v>
      </c>
      <c r="E82" s="16">
        <f>F72</f>
        <v>81</v>
      </c>
      <c r="F82" s="14">
        <f>E82+D82</f>
        <v>81</v>
      </c>
      <c r="G82" s="16">
        <f>H72</f>
        <v>1900.0000000000002</v>
      </c>
      <c r="H82" s="14">
        <f>G82+D82</f>
        <v>1900.0000000000002</v>
      </c>
      <c r="I82" s="14">
        <f>J72</f>
        <v>196.4</v>
      </c>
      <c r="J82" s="14">
        <f>I82+D82</f>
        <v>196.4</v>
      </c>
      <c r="K82" s="35" t="s">
        <v>31</v>
      </c>
      <c r="L82" s="36" t="s">
        <v>33</v>
      </c>
      <c r="M82" s="31" t="s">
        <v>34</v>
      </c>
      <c r="N82" s="37">
        <v>12</v>
      </c>
      <c r="O82" s="36" t="s">
        <v>50</v>
      </c>
      <c r="P82" s="39">
        <v>0.5</v>
      </c>
      <c r="Q82" s="40">
        <v>0</v>
      </c>
      <c r="R82" s="41"/>
      <c r="S82" s="41"/>
      <c r="T82" s="1"/>
      <c r="U82" s="8"/>
      <c r="V82" s="8"/>
      <c r="W82" s="8"/>
      <c r="Y82" s="6"/>
    </row>
    <row r="83" spans="1:32" ht="29" hidden="1" x14ac:dyDescent="0.35">
      <c r="A83" s="31" t="s">
        <v>9</v>
      </c>
      <c r="B83" s="32">
        <v>33</v>
      </c>
      <c r="C83" s="34"/>
      <c r="D83" s="32">
        <v>33</v>
      </c>
      <c r="E83" s="16">
        <f t="shared" ref="E83:E84" si="42">F73</f>
        <v>169.5</v>
      </c>
      <c r="F83" s="14">
        <f t="shared" ref="F83:F84" si="43">E83+D83</f>
        <v>202.5</v>
      </c>
      <c r="G83" s="16">
        <f t="shared" ref="G83:G84" si="44">H73</f>
        <v>1492.5</v>
      </c>
      <c r="H83" s="14">
        <f t="shared" ref="H83:H84" si="45">G83+D83</f>
        <v>1525.5</v>
      </c>
      <c r="I83" s="14">
        <f t="shared" ref="I83:I84" si="46">J73</f>
        <v>169.5</v>
      </c>
      <c r="J83" s="14">
        <f t="shared" ref="J83:J84" si="47">I83+D83</f>
        <v>202.5</v>
      </c>
      <c r="K83" s="35" t="s">
        <v>35</v>
      </c>
      <c r="L83" s="36" t="s">
        <v>33</v>
      </c>
      <c r="M83" s="31" t="s">
        <v>34</v>
      </c>
      <c r="N83" s="37"/>
      <c r="O83" s="36" t="s">
        <v>24</v>
      </c>
      <c r="P83" s="42">
        <v>0.5</v>
      </c>
      <c r="Q83" s="40">
        <v>10</v>
      </c>
      <c r="R83" s="41">
        <v>20</v>
      </c>
      <c r="S83" s="41">
        <v>10</v>
      </c>
      <c r="T83" s="1"/>
      <c r="U83" s="8"/>
      <c r="V83" s="8"/>
      <c r="W83" s="8"/>
      <c r="Y83" s="6"/>
    </row>
    <row r="84" spans="1:32" ht="29" hidden="1" x14ac:dyDescent="0.35">
      <c r="A84" s="31" t="s">
        <v>10</v>
      </c>
      <c r="B84" s="32">
        <v>27</v>
      </c>
      <c r="C84" s="34"/>
      <c r="D84" s="32">
        <v>27</v>
      </c>
      <c r="E84" s="16">
        <f t="shared" si="42"/>
        <v>130.4</v>
      </c>
      <c r="F84" s="14">
        <f t="shared" si="43"/>
        <v>157.4</v>
      </c>
      <c r="G84" s="16">
        <f t="shared" si="44"/>
        <v>1811.4</v>
      </c>
      <c r="H84" s="14">
        <f t="shared" si="45"/>
        <v>1838.4</v>
      </c>
      <c r="I84" s="14">
        <f t="shared" si="46"/>
        <v>130.4</v>
      </c>
      <c r="J84" s="14">
        <f t="shared" si="47"/>
        <v>157.4</v>
      </c>
      <c r="K84" s="35" t="s">
        <v>32</v>
      </c>
      <c r="L84" s="36" t="s">
        <v>33</v>
      </c>
      <c r="M84" s="31" t="s">
        <v>34</v>
      </c>
      <c r="N84" s="37">
        <v>0</v>
      </c>
      <c r="O84" s="36" t="s">
        <v>56</v>
      </c>
      <c r="P84" s="39">
        <v>0.5</v>
      </c>
      <c r="Q84" s="40">
        <v>10</v>
      </c>
      <c r="R84" s="41">
        <v>20</v>
      </c>
      <c r="S84" s="41">
        <v>10</v>
      </c>
      <c r="T84" s="1"/>
      <c r="U84" s="8"/>
      <c r="V84" s="8"/>
      <c r="W84" s="8"/>
      <c r="Y84" s="6"/>
    </row>
    <row r="85" spans="1:32" s="6" customFormat="1" hidden="1" x14ac:dyDescent="0.35">
      <c r="A85" s="43" t="s">
        <v>7</v>
      </c>
      <c r="B85" s="44">
        <v>60</v>
      </c>
      <c r="C85" s="44"/>
      <c r="D85" s="44">
        <v>60</v>
      </c>
      <c r="E85" s="44">
        <v>380.9</v>
      </c>
      <c r="F85" s="44">
        <v>440.9</v>
      </c>
      <c r="G85" s="44">
        <v>5203.8999999999996</v>
      </c>
      <c r="H85" s="44">
        <v>5263.9</v>
      </c>
      <c r="I85" s="44"/>
      <c r="J85" s="44"/>
      <c r="K85" s="45"/>
      <c r="L85" s="45"/>
      <c r="M85" s="45"/>
      <c r="N85" s="45"/>
      <c r="O85" s="46" t="s">
        <v>49</v>
      </c>
      <c r="P85" s="47"/>
      <c r="Q85" s="47"/>
      <c r="R85" s="44"/>
      <c r="S85" s="44"/>
      <c r="T85" s="7"/>
      <c r="U85" s="13"/>
      <c r="V85" s="13"/>
      <c r="W85" s="13"/>
      <c r="Z85" s="5"/>
      <c r="AA85" s="4"/>
      <c r="AB85" s="4"/>
      <c r="AD85" s="5"/>
      <c r="AE85" s="5"/>
      <c r="AF85" s="5"/>
    </row>
    <row r="86" spans="1:32" hidden="1" x14ac:dyDescent="0.35"/>
    <row r="87" spans="1:32" hidden="1" x14ac:dyDescent="0.35"/>
    <row r="88" spans="1:32" ht="12.75" hidden="1" customHeight="1" x14ac:dyDescent="0.35">
      <c r="A88" s="80" t="s">
        <v>13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7"/>
      <c r="U88" s="8"/>
      <c r="V88" s="8"/>
      <c r="W88" s="8"/>
    </row>
    <row r="89" spans="1:32" hidden="1" x14ac:dyDescent="0.35">
      <c r="A89" s="66" t="s">
        <v>57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7"/>
      <c r="U89" s="8"/>
      <c r="V89" s="8"/>
      <c r="W89" s="8"/>
    </row>
    <row r="90" spans="1:32" hidden="1" x14ac:dyDescent="0.35">
      <c r="A90" s="70" t="s">
        <v>38</v>
      </c>
      <c r="B90" s="76" t="s">
        <v>0</v>
      </c>
      <c r="C90" s="77"/>
      <c r="D90" s="74" t="s">
        <v>1</v>
      </c>
      <c r="E90" s="74" t="s">
        <v>16</v>
      </c>
      <c r="F90" s="74" t="s">
        <v>11</v>
      </c>
      <c r="G90" s="74" t="s">
        <v>17</v>
      </c>
      <c r="H90" s="74" t="s">
        <v>12</v>
      </c>
      <c r="I90" s="74" t="s">
        <v>18</v>
      </c>
      <c r="J90" s="74" t="s">
        <v>2</v>
      </c>
      <c r="K90" s="70" t="s">
        <v>3</v>
      </c>
      <c r="L90" s="68" t="s">
        <v>4</v>
      </c>
      <c r="M90" s="70" t="s">
        <v>5</v>
      </c>
      <c r="N90" s="70" t="s">
        <v>14</v>
      </c>
      <c r="O90" s="70" t="s">
        <v>6</v>
      </c>
      <c r="P90" s="70" t="s">
        <v>22</v>
      </c>
      <c r="Q90" s="70" t="s">
        <v>23</v>
      </c>
      <c r="R90" s="72" t="s">
        <v>19</v>
      </c>
      <c r="S90" s="73"/>
      <c r="T90" s="83"/>
      <c r="U90" s="84"/>
      <c r="V90" s="8"/>
      <c r="W90" s="8"/>
      <c r="Y90" s="82"/>
      <c r="Z90" s="82"/>
      <c r="AA90" s="81"/>
      <c r="AB90" s="81"/>
      <c r="AC90" s="82"/>
      <c r="AD90" s="82"/>
      <c r="AE90" s="82"/>
      <c r="AF90" s="82"/>
    </row>
    <row r="91" spans="1:32" hidden="1" x14ac:dyDescent="0.35">
      <c r="A91" s="71"/>
      <c r="B91" s="78"/>
      <c r="C91" s="79"/>
      <c r="D91" s="75"/>
      <c r="E91" s="75"/>
      <c r="F91" s="75"/>
      <c r="G91" s="75"/>
      <c r="H91" s="75"/>
      <c r="I91" s="75"/>
      <c r="J91" s="75"/>
      <c r="K91" s="71"/>
      <c r="L91" s="69"/>
      <c r="M91" s="71"/>
      <c r="N91" s="71"/>
      <c r="O91" s="71"/>
      <c r="P91" s="71"/>
      <c r="Q91" s="71"/>
      <c r="R91" s="48" t="s">
        <v>21</v>
      </c>
      <c r="S91" s="49" t="s">
        <v>46</v>
      </c>
      <c r="T91" s="83"/>
      <c r="U91" s="84"/>
      <c r="V91" s="8"/>
      <c r="W91" s="8"/>
      <c r="Y91" s="82"/>
      <c r="Z91" s="82"/>
      <c r="AA91" s="81"/>
      <c r="AB91" s="81"/>
      <c r="AC91" s="82"/>
      <c r="AD91" s="82"/>
      <c r="AE91" s="82"/>
      <c r="AF91" s="82"/>
    </row>
    <row r="92" spans="1:32" ht="29" hidden="1" x14ac:dyDescent="0.35">
      <c r="A92" s="31" t="s">
        <v>15</v>
      </c>
      <c r="B92" s="32">
        <v>0</v>
      </c>
      <c r="C92" s="33"/>
      <c r="D92" s="32">
        <f>B92</f>
        <v>0</v>
      </c>
      <c r="E92" s="16">
        <f>F82</f>
        <v>81</v>
      </c>
      <c r="F92" s="14">
        <f>E92+D92</f>
        <v>81</v>
      </c>
      <c r="G92" s="16">
        <f>H82</f>
        <v>1900.0000000000002</v>
      </c>
      <c r="H92" s="14">
        <f>G92+D92</f>
        <v>1900.0000000000002</v>
      </c>
      <c r="I92" s="14">
        <f>J82</f>
        <v>196.4</v>
      </c>
      <c r="J92" s="14">
        <f>I92+D92</f>
        <v>196.4</v>
      </c>
      <c r="K92" s="35" t="s">
        <v>31</v>
      </c>
      <c r="L92" s="36" t="s">
        <v>33</v>
      </c>
      <c r="M92" s="31" t="s">
        <v>34</v>
      </c>
      <c r="N92" s="37">
        <v>12</v>
      </c>
      <c r="O92" s="36" t="s">
        <v>50</v>
      </c>
      <c r="P92" s="39">
        <v>0.5</v>
      </c>
      <c r="Q92" s="40">
        <v>0</v>
      </c>
      <c r="R92" s="41"/>
      <c r="S92" s="41"/>
      <c r="T92" s="1"/>
      <c r="U92" s="8"/>
      <c r="V92" s="8"/>
      <c r="W92" s="8"/>
      <c r="Y92" s="6"/>
    </row>
    <row r="93" spans="1:32" ht="29" hidden="1" x14ac:dyDescent="0.35">
      <c r="A93" s="31" t="s">
        <v>9</v>
      </c>
      <c r="B93" s="32">
        <v>24</v>
      </c>
      <c r="C93" s="34"/>
      <c r="D93" s="32">
        <f t="shared" ref="D93:D94" si="48">B93</f>
        <v>24</v>
      </c>
      <c r="E93" s="16">
        <f t="shared" ref="E93:E94" si="49">F83</f>
        <v>202.5</v>
      </c>
      <c r="F93" s="14">
        <f t="shared" ref="F93:F94" si="50">E93+D93</f>
        <v>226.5</v>
      </c>
      <c r="G93" s="16">
        <f t="shared" ref="G93:G94" si="51">H83</f>
        <v>1525.5</v>
      </c>
      <c r="H93" s="14">
        <f t="shared" ref="H93:H94" si="52">G93+D93</f>
        <v>1549.5</v>
      </c>
      <c r="I93" s="14">
        <f t="shared" ref="I93:I94" si="53">J83</f>
        <v>202.5</v>
      </c>
      <c r="J93" s="14">
        <f t="shared" ref="J93:J94" si="54">I93+D93</f>
        <v>226.5</v>
      </c>
      <c r="K93" s="35" t="s">
        <v>35</v>
      </c>
      <c r="L93" s="36" t="s">
        <v>33</v>
      </c>
      <c r="M93" s="31" t="s">
        <v>34</v>
      </c>
      <c r="N93" s="37"/>
      <c r="O93" s="36" t="s">
        <v>24</v>
      </c>
      <c r="P93" s="42">
        <v>0.5</v>
      </c>
      <c r="Q93" s="40">
        <v>10</v>
      </c>
      <c r="R93" s="41">
        <v>20</v>
      </c>
      <c r="S93" s="41">
        <v>10</v>
      </c>
      <c r="T93" s="1"/>
      <c r="U93" s="8"/>
      <c r="V93" s="8"/>
      <c r="W93" s="8"/>
      <c r="Y93" s="6"/>
    </row>
    <row r="94" spans="1:32" ht="29" hidden="1" x14ac:dyDescent="0.35">
      <c r="A94" s="31" t="s">
        <v>10</v>
      </c>
      <c r="B94" s="32">
        <v>24</v>
      </c>
      <c r="C94" s="34"/>
      <c r="D94" s="32">
        <f t="shared" si="48"/>
        <v>24</v>
      </c>
      <c r="E94" s="16">
        <f t="shared" si="49"/>
        <v>157.4</v>
      </c>
      <c r="F94" s="14">
        <f t="shared" si="50"/>
        <v>181.4</v>
      </c>
      <c r="G94" s="16">
        <f t="shared" si="51"/>
        <v>1838.4</v>
      </c>
      <c r="H94" s="14">
        <f t="shared" si="52"/>
        <v>1862.4</v>
      </c>
      <c r="I94" s="14">
        <f t="shared" si="53"/>
        <v>157.4</v>
      </c>
      <c r="J94" s="14">
        <f t="shared" si="54"/>
        <v>181.4</v>
      </c>
      <c r="K94" s="35" t="s">
        <v>32</v>
      </c>
      <c r="L94" s="36" t="s">
        <v>33</v>
      </c>
      <c r="M94" s="31" t="s">
        <v>34</v>
      </c>
      <c r="N94" s="37">
        <v>0</v>
      </c>
      <c r="O94" s="36" t="s">
        <v>56</v>
      </c>
      <c r="P94" s="39">
        <v>0.5</v>
      </c>
      <c r="Q94" s="40">
        <v>10</v>
      </c>
      <c r="R94" s="41">
        <v>20</v>
      </c>
      <c r="S94" s="41">
        <v>10</v>
      </c>
      <c r="T94" s="1"/>
      <c r="U94" s="8"/>
      <c r="V94" s="8"/>
      <c r="W94" s="8"/>
      <c r="Y94" s="6"/>
    </row>
    <row r="95" spans="1:32" s="6" customFormat="1" hidden="1" x14ac:dyDescent="0.35">
      <c r="A95" s="43" t="s">
        <v>7</v>
      </c>
      <c r="B95" s="44">
        <f>SUM(B92:B94)</f>
        <v>48</v>
      </c>
      <c r="C95" s="44"/>
      <c r="D95" s="44">
        <f>SUM(D92:D94)</f>
        <v>48</v>
      </c>
      <c r="E95" s="44">
        <f t="shared" ref="E95:H95" si="55">SUM(E92:E94)</f>
        <v>440.9</v>
      </c>
      <c r="F95" s="44">
        <f t="shared" si="55"/>
        <v>488.9</v>
      </c>
      <c r="G95" s="44">
        <f t="shared" si="55"/>
        <v>5263.9</v>
      </c>
      <c r="H95" s="44">
        <f t="shared" si="55"/>
        <v>5311.9</v>
      </c>
      <c r="I95" s="44"/>
      <c r="J95" s="44"/>
      <c r="K95" s="45"/>
      <c r="L95" s="45"/>
      <c r="M95" s="45"/>
      <c r="N95" s="45"/>
      <c r="O95" s="46" t="s">
        <v>49</v>
      </c>
      <c r="P95" s="47"/>
      <c r="Q95" s="47"/>
      <c r="R95" s="44"/>
      <c r="S95" s="44"/>
      <c r="T95" s="7"/>
      <c r="U95" s="13"/>
      <c r="V95" s="13"/>
      <c r="W95" s="13"/>
      <c r="Z95" s="5"/>
      <c r="AA95" s="4"/>
      <c r="AB95" s="4"/>
      <c r="AD95" s="5"/>
      <c r="AE95" s="5"/>
      <c r="AF95" s="5"/>
    </row>
    <row r="96" spans="1:32" hidden="1" x14ac:dyDescent="0.35"/>
    <row r="97" spans="1:32" hidden="1" x14ac:dyDescent="0.35"/>
    <row r="98" spans="1:32" ht="12.75" hidden="1" customHeight="1" x14ac:dyDescent="0.35">
      <c r="A98" s="80" t="s">
        <v>13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7"/>
      <c r="U98" s="8"/>
      <c r="V98" s="8"/>
      <c r="W98" s="8"/>
    </row>
    <row r="99" spans="1:32" hidden="1" x14ac:dyDescent="0.35">
      <c r="A99" s="66" t="s">
        <v>59</v>
      </c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7"/>
      <c r="U99" s="8"/>
      <c r="V99" s="8"/>
      <c r="W99" s="8"/>
    </row>
    <row r="100" spans="1:32" hidden="1" x14ac:dyDescent="0.35">
      <c r="A100" s="70" t="s">
        <v>38</v>
      </c>
      <c r="B100" s="76" t="s">
        <v>0</v>
      </c>
      <c r="C100" s="77"/>
      <c r="D100" s="74" t="s">
        <v>1</v>
      </c>
      <c r="E100" s="74" t="s">
        <v>16</v>
      </c>
      <c r="F100" s="74" t="s">
        <v>11</v>
      </c>
      <c r="G100" s="74" t="s">
        <v>17</v>
      </c>
      <c r="H100" s="74" t="s">
        <v>12</v>
      </c>
      <c r="I100" s="74" t="s">
        <v>18</v>
      </c>
      <c r="J100" s="74" t="s">
        <v>2</v>
      </c>
      <c r="K100" s="70" t="s">
        <v>3</v>
      </c>
      <c r="L100" s="68" t="s">
        <v>4</v>
      </c>
      <c r="M100" s="70" t="s">
        <v>5</v>
      </c>
      <c r="N100" s="70" t="s">
        <v>14</v>
      </c>
      <c r="O100" s="70" t="s">
        <v>6</v>
      </c>
      <c r="P100" s="70" t="s">
        <v>22</v>
      </c>
      <c r="Q100" s="70" t="s">
        <v>23</v>
      </c>
      <c r="R100" s="72" t="s">
        <v>19</v>
      </c>
      <c r="S100" s="73"/>
      <c r="T100" s="83"/>
      <c r="U100" s="84"/>
      <c r="V100" s="8"/>
      <c r="W100" s="8"/>
      <c r="Y100" s="82"/>
      <c r="Z100" s="82"/>
      <c r="AA100" s="81"/>
      <c r="AB100" s="81"/>
      <c r="AC100" s="82"/>
      <c r="AD100" s="82"/>
      <c r="AE100" s="82"/>
      <c r="AF100" s="82"/>
    </row>
    <row r="101" spans="1:32" hidden="1" x14ac:dyDescent="0.35">
      <c r="A101" s="71"/>
      <c r="B101" s="78"/>
      <c r="C101" s="79"/>
      <c r="D101" s="75"/>
      <c r="E101" s="75"/>
      <c r="F101" s="75"/>
      <c r="G101" s="75"/>
      <c r="H101" s="75"/>
      <c r="I101" s="75"/>
      <c r="J101" s="75"/>
      <c r="K101" s="71"/>
      <c r="L101" s="69"/>
      <c r="M101" s="71"/>
      <c r="N101" s="71"/>
      <c r="O101" s="71"/>
      <c r="P101" s="71"/>
      <c r="Q101" s="71"/>
      <c r="R101" s="48" t="s">
        <v>21</v>
      </c>
      <c r="S101" s="49" t="s">
        <v>46</v>
      </c>
      <c r="T101" s="83"/>
      <c r="U101" s="84"/>
      <c r="V101" s="8"/>
      <c r="W101" s="8"/>
      <c r="Y101" s="82"/>
      <c r="Z101" s="82"/>
      <c r="AA101" s="81"/>
      <c r="AB101" s="81"/>
      <c r="AC101" s="82"/>
      <c r="AD101" s="82"/>
      <c r="AE101" s="82"/>
      <c r="AF101" s="82"/>
    </row>
    <row r="102" spans="1:32" ht="37" hidden="1" customHeight="1" x14ac:dyDescent="0.35">
      <c r="A102" s="31" t="s">
        <v>15</v>
      </c>
      <c r="B102" s="32">
        <v>0</v>
      </c>
      <c r="C102" s="33"/>
      <c r="D102" s="32">
        <f>B102</f>
        <v>0</v>
      </c>
      <c r="E102" s="16">
        <f>F92</f>
        <v>81</v>
      </c>
      <c r="F102" s="14">
        <f>E102+D102</f>
        <v>81</v>
      </c>
      <c r="G102" s="16">
        <f>H92</f>
        <v>1900.0000000000002</v>
      </c>
      <c r="H102" s="14">
        <f>G102+D102</f>
        <v>1900.0000000000002</v>
      </c>
      <c r="I102" s="14">
        <f>J92</f>
        <v>196.4</v>
      </c>
      <c r="J102" s="14">
        <f>I102+D102</f>
        <v>196.4</v>
      </c>
      <c r="K102" s="35"/>
      <c r="L102" s="36"/>
      <c r="M102" s="31" t="s">
        <v>60</v>
      </c>
      <c r="N102" s="37">
        <v>12</v>
      </c>
      <c r="O102" s="36" t="s">
        <v>50</v>
      </c>
      <c r="P102" s="39">
        <v>0.5</v>
      </c>
      <c r="Q102" s="40">
        <v>0</v>
      </c>
      <c r="R102" s="41"/>
      <c r="S102" s="41"/>
      <c r="T102" s="1"/>
      <c r="U102" s="8"/>
      <c r="V102" s="8"/>
      <c r="W102" s="8"/>
      <c r="Y102" s="6"/>
    </row>
    <row r="103" spans="1:32" ht="46" hidden="1" customHeight="1" x14ac:dyDescent="0.35">
      <c r="A103" s="31" t="s">
        <v>9</v>
      </c>
      <c r="B103" s="32">
        <v>24</v>
      </c>
      <c r="C103" s="34"/>
      <c r="D103" s="32">
        <f t="shared" ref="D103:D104" si="56">B103</f>
        <v>24</v>
      </c>
      <c r="E103" s="16">
        <f t="shared" ref="E103:E104" si="57">F93</f>
        <v>226.5</v>
      </c>
      <c r="F103" s="14">
        <f t="shared" ref="F103:F104" si="58">E103+D103</f>
        <v>250.5</v>
      </c>
      <c r="G103" s="16">
        <f t="shared" ref="G103:G104" si="59">H93</f>
        <v>1549.5</v>
      </c>
      <c r="H103" s="14">
        <f t="shared" ref="H103:H104" si="60">G103+D103</f>
        <v>1573.5</v>
      </c>
      <c r="I103" s="14">
        <f t="shared" ref="I103:I104" si="61">J93</f>
        <v>226.5</v>
      </c>
      <c r="J103" s="14">
        <f t="shared" ref="J103:J104" si="62">I103+D103</f>
        <v>250.5</v>
      </c>
      <c r="K103" s="35" t="s">
        <v>35</v>
      </c>
      <c r="L103" s="36" t="s">
        <v>33</v>
      </c>
      <c r="M103" s="31" t="s">
        <v>60</v>
      </c>
      <c r="N103" s="37">
        <v>2</v>
      </c>
      <c r="O103" s="36" t="s">
        <v>62</v>
      </c>
      <c r="P103" s="42">
        <v>0.5</v>
      </c>
      <c r="Q103" s="40">
        <v>8</v>
      </c>
      <c r="R103" s="41">
        <v>20</v>
      </c>
      <c r="S103" s="41">
        <v>10</v>
      </c>
      <c r="T103" s="1"/>
      <c r="U103" s="8"/>
      <c r="V103" s="8"/>
      <c r="W103" s="8"/>
      <c r="Y103" s="6"/>
    </row>
    <row r="104" spans="1:32" ht="22" hidden="1" customHeight="1" x14ac:dyDescent="0.35">
      <c r="A104" s="31" t="s">
        <v>10</v>
      </c>
      <c r="B104" s="32">
        <v>27</v>
      </c>
      <c r="C104" s="34"/>
      <c r="D104" s="32">
        <f t="shared" si="56"/>
        <v>27</v>
      </c>
      <c r="E104" s="16">
        <f t="shared" si="57"/>
        <v>181.4</v>
      </c>
      <c r="F104" s="14">
        <f t="shared" si="58"/>
        <v>208.4</v>
      </c>
      <c r="G104" s="16">
        <f t="shared" si="59"/>
        <v>1862.4</v>
      </c>
      <c r="H104" s="14">
        <f t="shared" si="60"/>
        <v>1889.4</v>
      </c>
      <c r="I104" s="14">
        <f t="shared" si="61"/>
        <v>181.4</v>
      </c>
      <c r="J104" s="14">
        <f t="shared" si="62"/>
        <v>208.4</v>
      </c>
      <c r="K104" s="35" t="s">
        <v>32</v>
      </c>
      <c r="L104" s="36" t="s">
        <v>33</v>
      </c>
      <c r="M104" s="31" t="s">
        <v>60</v>
      </c>
      <c r="N104" s="37">
        <v>0</v>
      </c>
      <c r="O104" s="36" t="s">
        <v>61</v>
      </c>
      <c r="P104" s="39">
        <v>0.5</v>
      </c>
      <c r="Q104" s="40">
        <v>10</v>
      </c>
      <c r="R104" s="41">
        <v>20</v>
      </c>
      <c r="S104" s="41">
        <v>10</v>
      </c>
      <c r="T104" s="1"/>
      <c r="U104" s="8"/>
      <c r="V104" s="8"/>
      <c r="W104" s="8"/>
      <c r="Y104" s="6"/>
    </row>
    <row r="105" spans="1:32" s="6" customFormat="1" ht="25" hidden="1" customHeight="1" x14ac:dyDescent="0.35">
      <c r="A105" s="43" t="s">
        <v>7</v>
      </c>
      <c r="B105" s="44">
        <f>SUM(B102:B104)</f>
        <v>51</v>
      </c>
      <c r="C105" s="44"/>
      <c r="D105" s="44">
        <f>SUM(D102:D104)</f>
        <v>51</v>
      </c>
      <c r="E105" s="44">
        <f t="shared" ref="E105:H105" si="63">SUM(E102:E104)</f>
        <v>488.9</v>
      </c>
      <c r="F105" s="44">
        <f t="shared" si="63"/>
        <v>539.9</v>
      </c>
      <c r="G105" s="44">
        <f t="shared" si="63"/>
        <v>5311.9</v>
      </c>
      <c r="H105" s="44">
        <f t="shared" si="63"/>
        <v>5362.9</v>
      </c>
      <c r="I105" s="44"/>
      <c r="J105" s="44"/>
      <c r="K105" s="45"/>
      <c r="L105" s="45"/>
      <c r="M105" s="45"/>
      <c r="N105" s="45"/>
      <c r="O105" s="46" t="s">
        <v>49</v>
      </c>
      <c r="P105" s="47"/>
      <c r="Q105" s="47"/>
      <c r="R105" s="44"/>
      <c r="S105" s="44"/>
      <c r="T105" s="7"/>
      <c r="U105" s="13"/>
      <c r="V105" s="13"/>
      <c r="W105" s="13"/>
      <c r="Z105" s="5"/>
      <c r="AA105" s="4"/>
      <c r="AB105" s="4"/>
      <c r="AD105" s="5"/>
      <c r="AE105" s="5"/>
      <c r="AF105" s="5"/>
    </row>
    <row r="106" spans="1:32" hidden="1" x14ac:dyDescent="0.35"/>
    <row r="107" spans="1:32" hidden="1" x14ac:dyDescent="0.35"/>
    <row r="108" spans="1:32" ht="12.75" hidden="1" customHeight="1" x14ac:dyDescent="0.35">
      <c r="A108" s="80" t="s">
        <v>13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7"/>
      <c r="U108" s="8"/>
      <c r="V108" s="8"/>
      <c r="W108" s="8"/>
    </row>
    <row r="109" spans="1:32" hidden="1" x14ac:dyDescent="0.35">
      <c r="A109" s="66" t="s">
        <v>59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</row>
    <row r="110" spans="1:32" hidden="1" x14ac:dyDescent="0.35">
      <c r="A110" s="70" t="s">
        <v>38</v>
      </c>
      <c r="B110" s="76" t="s">
        <v>0</v>
      </c>
      <c r="C110" s="77"/>
      <c r="D110" s="74" t="s">
        <v>1</v>
      </c>
      <c r="E110" s="74" t="s">
        <v>16</v>
      </c>
      <c r="F110" s="74" t="s">
        <v>11</v>
      </c>
      <c r="G110" s="74" t="s">
        <v>17</v>
      </c>
      <c r="H110" s="74" t="s">
        <v>12</v>
      </c>
      <c r="I110" s="74" t="s">
        <v>18</v>
      </c>
      <c r="J110" s="74" t="s">
        <v>2</v>
      </c>
      <c r="K110" s="70" t="s">
        <v>3</v>
      </c>
      <c r="L110" s="68" t="s">
        <v>4</v>
      </c>
      <c r="M110" s="70" t="s">
        <v>5</v>
      </c>
      <c r="N110" s="70" t="s">
        <v>14</v>
      </c>
      <c r="O110" s="70" t="s">
        <v>6</v>
      </c>
      <c r="P110" s="70" t="s">
        <v>22</v>
      </c>
      <c r="Q110" s="70" t="s">
        <v>23</v>
      </c>
      <c r="R110" s="72" t="s">
        <v>19</v>
      </c>
      <c r="S110" s="73"/>
    </row>
    <row r="111" spans="1:32" hidden="1" x14ac:dyDescent="0.35">
      <c r="A111" s="71"/>
      <c r="B111" s="78"/>
      <c r="C111" s="79"/>
      <c r="D111" s="75"/>
      <c r="E111" s="75"/>
      <c r="F111" s="75"/>
      <c r="G111" s="75"/>
      <c r="H111" s="75"/>
      <c r="I111" s="75"/>
      <c r="J111" s="75"/>
      <c r="K111" s="71"/>
      <c r="L111" s="69"/>
      <c r="M111" s="71"/>
      <c r="N111" s="71"/>
      <c r="O111" s="71"/>
      <c r="P111" s="71"/>
      <c r="Q111" s="71"/>
      <c r="R111" s="48" t="s">
        <v>21</v>
      </c>
      <c r="S111" s="49" t="s">
        <v>46</v>
      </c>
    </row>
    <row r="112" spans="1:32" hidden="1" x14ac:dyDescent="0.35">
      <c r="A112" s="31" t="s">
        <v>15</v>
      </c>
      <c r="B112" s="32">
        <v>0</v>
      </c>
      <c r="C112" s="33"/>
      <c r="D112" s="32">
        <f>B112</f>
        <v>0</v>
      </c>
      <c r="E112" s="16">
        <f>F102</f>
        <v>81</v>
      </c>
      <c r="F112" s="14">
        <f>E112+D112</f>
        <v>81</v>
      </c>
      <c r="G112" s="16">
        <f>H102</f>
        <v>1900.0000000000002</v>
      </c>
      <c r="H112" s="14">
        <f>G112+D112</f>
        <v>1900.0000000000002</v>
      </c>
      <c r="I112" s="14">
        <f>J102</f>
        <v>196.4</v>
      </c>
      <c r="J112" s="14">
        <f>I112+D112</f>
        <v>196.4</v>
      </c>
      <c r="K112" s="35"/>
      <c r="L112" s="36"/>
      <c r="M112" s="31" t="s">
        <v>60</v>
      </c>
      <c r="N112" s="37">
        <v>12</v>
      </c>
      <c r="O112" s="50" t="s">
        <v>63</v>
      </c>
      <c r="P112" s="39"/>
      <c r="Q112" s="40">
        <v>0</v>
      </c>
      <c r="R112" s="41"/>
      <c r="S112" s="41"/>
    </row>
    <row r="113" spans="1:23" ht="29" hidden="1" x14ac:dyDescent="0.35">
      <c r="A113" s="31" t="s">
        <v>9</v>
      </c>
      <c r="B113" s="32">
        <v>18</v>
      </c>
      <c r="C113" s="34"/>
      <c r="D113" s="32">
        <f t="shared" ref="D113:D114" si="64">B113</f>
        <v>18</v>
      </c>
      <c r="E113" s="16">
        <f t="shared" ref="E113:E114" si="65">F103</f>
        <v>250.5</v>
      </c>
      <c r="F113" s="14">
        <f t="shared" ref="F113:F114" si="66">E113+D113</f>
        <v>268.5</v>
      </c>
      <c r="G113" s="16">
        <f t="shared" ref="G113:G114" si="67">H103</f>
        <v>1573.5</v>
      </c>
      <c r="H113" s="14">
        <f t="shared" ref="H113:H114" si="68">G113+D113</f>
        <v>1591.5</v>
      </c>
      <c r="I113" s="14">
        <f t="shared" ref="I113:I114" si="69">J103</f>
        <v>250.5</v>
      </c>
      <c r="J113" s="14">
        <f t="shared" ref="J113:J114" si="70">I113+D113</f>
        <v>268.5</v>
      </c>
      <c r="K113" s="35" t="s">
        <v>35</v>
      </c>
      <c r="L113" s="36" t="s">
        <v>33</v>
      </c>
      <c r="M113" s="31" t="s">
        <v>60</v>
      </c>
      <c r="N113" s="37">
        <v>0</v>
      </c>
      <c r="O113" s="50" t="s">
        <v>64</v>
      </c>
      <c r="P113" s="42">
        <v>0.5</v>
      </c>
      <c r="Q113" s="40">
        <v>6.5</v>
      </c>
      <c r="R113" s="41">
        <v>10</v>
      </c>
      <c r="S113" s="41">
        <v>10</v>
      </c>
    </row>
    <row r="114" spans="1:23" ht="29" hidden="1" x14ac:dyDescent="0.35">
      <c r="A114" s="31" t="s">
        <v>10</v>
      </c>
      <c r="B114" s="32">
        <v>18</v>
      </c>
      <c r="C114" s="34"/>
      <c r="D114" s="32">
        <f t="shared" si="64"/>
        <v>18</v>
      </c>
      <c r="E114" s="16">
        <f t="shared" si="65"/>
        <v>208.4</v>
      </c>
      <c r="F114" s="14">
        <f t="shared" si="66"/>
        <v>226.4</v>
      </c>
      <c r="G114" s="16">
        <f t="shared" si="67"/>
        <v>1889.4</v>
      </c>
      <c r="H114" s="14">
        <f t="shared" si="68"/>
        <v>1907.4</v>
      </c>
      <c r="I114" s="14">
        <f t="shared" si="69"/>
        <v>208.4</v>
      </c>
      <c r="J114" s="14">
        <f t="shared" si="70"/>
        <v>226.4</v>
      </c>
      <c r="K114" s="35" t="s">
        <v>32</v>
      </c>
      <c r="L114" s="36" t="s">
        <v>33</v>
      </c>
      <c r="M114" s="31" t="s">
        <v>60</v>
      </c>
      <c r="N114" s="37">
        <v>0</v>
      </c>
      <c r="O114" s="36" t="s">
        <v>61</v>
      </c>
      <c r="P114" s="39">
        <v>0.5</v>
      </c>
      <c r="Q114" s="40">
        <v>6.5</v>
      </c>
      <c r="R114" s="41">
        <v>10</v>
      </c>
      <c r="S114" s="41">
        <v>10</v>
      </c>
    </row>
    <row r="115" spans="1:23" hidden="1" x14ac:dyDescent="0.35">
      <c r="A115" s="43" t="s">
        <v>7</v>
      </c>
      <c r="B115" s="44">
        <f>SUM(B112:B114)</f>
        <v>36</v>
      </c>
      <c r="C115" s="44"/>
      <c r="D115" s="44">
        <f>SUM(D112:D114)</f>
        <v>36</v>
      </c>
      <c r="E115" s="44">
        <f t="shared" ref="E115:H115" si="71">SUM(E112:E114)</f>
        <v>539.9</v>
      </c>
      <c r="F115" s="44">
        <f t="shared" si="71"/>
        <v>575.9</v>
      </c>
      <c r="G115" s="44">
        <f t="shared" si="71"/>
        <v>5362.9</v>
      </c>
      <c r="H115" s="44">
        <f t="shared" si="71"/>
        <v>5398.9</v>
      </c>
      <c r="I115" s="44"/>
      <c r="J115" s="44"/>
      <c r="K115" s="45"/>
      <c r="L115" s="45"/>
      <c r="M115" s="45"/>
      <c r="N115" s="45"/>
      <c r="O115" s="46"/>
      <c r="P115" s="47"/>
      <c r="Q115" s="47"/>
      <c r="R115" s="44"/>
      <c r="S115" s="44"/>
    </row>
    <row r="116" spans="1:23" hidden="1" x14ac:dyDescent="0.35"/>
    <row r="117" spans="1:23" hidden="1" x14ac:dyDescent="0.35"/>
    <row r="118" spans="1:23" ht="12.75" hidden="1" customHeight="1" x14ac:dyDescent="0.35">
      <c r="A118" s="80" t="s">
        <v>13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7"/>
      <c r="U118" s="8"/>
      <c r="V118" s="8"/>
      <c r="W118" s="8"/>
    </row>
    <row r="119" spans="1:23" hidden="1" x14ac:dyDescent="0.35">
      <c r="A119" s="66" t="s">
        <v>65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</row>
    <row r="120" spans="1:23" hidden="1" x14ac:dyDescent="0.35">
      <c r="A120" s="70" t="s">
        <v>38</v>
      </c>
      <c r="B120" s="76" t="s">
        <v>0</v>
      </c>
      <c r="C120" s="77"/>
      <c r="D120" s="74" t="s">
        <v>1</v>
      </c>
      <c r="E120" s="74" t="s">
        <v>16</v>
      </c>
      <c r="F120" s="74" t="s">
        <v>11</v>
      </c>
      <c r="G120" s="74" t="s">
        <v>17</v>
      </c>
      <c r="H120" s="74" t="s">
        <v>12</v>
      </c>
      <c r="I120" s="74" t="s">
        <v>18</v>
      </c>
      <c r="J120" s="74" t="s">
        <v>2</v>
      </c>
      <c r="K120" s="70" t="s">
        <v>3</v>
      </c>
      <c r="L120" s="68" t="s">
        <v>4</v>
      </c>
      <c r="M120" s="70" t="s">
        <v>5</v>
      </c>
      <c r="N120" s="70" t="s">
        <v>14</v>
      </c>
      <c r="O120" s="70" t="s">
        <v>6</v>
      </c>
      <c r="P120" s="70" t="s">
        <v>22</v>
      </c>
      <c r="Q120" s="70" t="s">
        <v>23</v>
      </c>
      <c r="R120" s="72" t="s">
        <v>19</v>
      </c>
      <c r="S120" s="73"/>
    </row>
    <row r="121" spans="1:23" hidden="1" x14ac:dyDescent="0.35">
      <c r="A121" s="71"/>
      <c r="B121" s="78"/>
      <c r="C121" s="79"/>
      <c r="D121" s="75"/>
      <c r="E121" s="75"/>
      <c r="F121" s="75"/>
      <c r="G121" s="75"/>
      <c r="H121" s="75"/>
      <c r="I121" s="75"/>
      <c r="J121" s="75"/>
      <c r="K121" s="71"/>
      <c r="L121" s="69"/>
      <c r="M121" s="71"/>
      <c r="N121" s="71"/>
      <c r="O121" s="71"/>
      <c r="P121" s="71"/>
      <c r="Q121" s="71"/>
      <c r="R121" s="48" t="s">
        <v>46</v>
      </c>
      <c r="S121" s="49" t="s">
        <v>21</v>
      </c>
    </row>
    <row r="122" spans="1:23" hidden="1" x14ac:dyDescent="0.35">
      <c r="A122" s="31" t="s">
        <v>15</v>
      </c>
      <c r="B122" s="32">
        <v>0</v>
      </c>
      <c r="C122" s="33"/>
      <c r="D122" s="32">
        <f>B122</f>
        <v>0</v>
      </c>
      <c r="E122" s="16">
        <f>F112</f>
        <v>81</v>
      </c>
      <c r="F122" s="14">
        <f>E122+D122</f>
        <v>81</v>
      </c>
      <c r="G122" s="16">
        <f>H112</f>
        <v>1900.0000000000002</v>
      </c>
      <c r="H122" s="14">
        <f>G122+D122</f>
        <v>1900.0000000000002</v>
      </c>
      <c r="I122" s="14">
        <f>J112</f>
        <v>196.4</v>
      </c>
      <c r="J122" s="14">
        <f>I122+D122</f>
        <v>196.4</v>
      </c>
      <c r="K122" s="35"/>
      <c r="L122" s="36"/>
      <c r="M122" s="31" t="s">
        <v>60</v>
      </c>
      <c r="N122" s="37">
        <v>12</v>
      </c>
      <c r="O122" s="50" t="s">
        <v>67</v>
      </c>
      <c r="P122" s="39"/>
      <c r="Q122" s="40">
        <v>0</v>
      </c>
      <c r="R122" s="41"/>
      <c r="S122" s="41"/>
    </row>
    <row r="123" spans="1:23" ht="29" hidden="1" x14ac:dyDescent="0.35">
      <c r="A123" s="31" t="s">
        <v>9</v>
      </c>
      <c r="B123" s="32">
        <v>24</v>
      </c>
      <c r="C123" s="34"/>
      <c r="D123" s="32">
        <f t="shared" ref="D123:D124" si="72">B123</f>
        <v>24</v>
      </c>
      <c r="E123" s="16">
        <f t="shared" ref="E123:E124" si="73">F113</f>
        <v>268.5</v>
      </c>
      <c r="F123" s="14">
        <f t="shared" ref="F123:F124" si="74">E123+D123</f>
        <v>292.5</v>
      </c>
      <c r="G123" s="16">
        <f t="shared" ref="G123:G124" si="75">H113</f>
        <v>1591.5</v>
      </c>
      <c r="H123" s="14">
        <f t="shared" ref="H123:H124" si="76">G123+D123</f>
        <v>1615.5</v>
      </c>
      <c r="I123" s="14">
        <f t="shared" ref="I123:I124" si="77">J113</f>
        <v>268.5</v>
      </c>
      <c r="J123" s="14">
        <f t="shared" ref="J123:J124" si="78">I123+D123</f>
        <v>292.5</v>
      </c>
      <c r="K123" s="35" t="s">
        <v>35</v>
      </c>
      <c r="L123" s="36" t="s">
        <v>33</v>
      </c>
      <c r="M123" s="31" t="s">
        <v>60</v>
      </c>
      <c r="N123" s="37">
        <v>0</v>
      </c>
      <c r="O123" s="50" t="s">
        <v>66</v>
      </c>
      <c r="P123" s="42">
        <v>0.5</v>
      </c>
      <c r="Q123" s="40">
        <v>10</v>
      </c>
      <c r="R123" s="41">
        <v>10</v>
      </c>
      <c r="S123" s="41">
        <v>20</v>
      </c>
    </row>
    <row r="124" spans="1:23" ht="29" hidden="1" x14ac:dyDescent="0.35">
      <c r="A124" s="31" t="s">
        <v>10</v>
      </c>
      <c r="B124" s="32">
        <v>24</v>
      </c>
      <c r="C124" s="34"/>
      <c r="D124" s="32">
        <f t="shared" si="72"/>
        <v>24</v>
      </c>
      <c r="E124" s="16">
        <f t="shared" si="73"/>
        <v>226.4</v>
      </c>
      <c r="F124" s="14">
        <f t="shared" si="74"/>
        <v>250.4</v>
      </c>
      <c r="G124" s="16">
        <f t="shared" si="75"/>
        <v>1907.4</v>
      </c>
      <c r="H124" s="14">
        <f t="shared" si="76"/>
        <v>1931.4</v>
      </c>
      <c r="I124" s="14">
        <f t="shared" si="77"/>
        <v>226.4</v>
      </c>
      <c r="J124" s="14">
        <f t="shared" si="78"/>
        <v>250.4</v>
      </c>
      <c r="K124" s="35" t="s">
        <v>32</v>
      </c>
      <c r="L124" s="36" t="s">
        <v>33</v>
      </c>
      <c r="M124" s="31" t="s">
        <v>60</v>
      </c>
      <c r="N124" s="37">
        <v>0</v>
      </c>
      <c r="O124" s="36" t="s">
        <v>61</v>
      </c>
      <c r="P124" s="39">
        <v>0.5</v>
      </c>
      <c r="Q124" s="40">
        <v>10</v>
      </c>
      <c r="R124" s="41">
        <v>10</v>
      </c>
      <c r="S124" s="41">
        <v>20</v>
      </c>
    </row>
    <row r="125" spans="1:23" hidden="1" x14ac:dyDescent="0.35">
      <c r="A125" s="43" t="s">
        <v>7</v>
      </c>
      <c r="B125" s="44">
        <f>SUM(B122:B124)</f>
        <v>48</v>
      </c>
      <c r="C125" s="44"/>
      <c r="D125" s="44">
        <f>SUM(D122:D124)</f>
        <v>48</v>
      </c>
      <c r="E125" s="44">
        <f t="shared" ref="E125:H125" si="79">SUM(E122:E124)</f>
        <v>575.9</v>
      </c>
      <c r="F125" s="44">
        <f t="shared" si="79"/>
        <v>623.9</v>
      </c>
      <c r="G125" s="44">
        <f t="shared" si="79"/>
        <v>5398.9</v>
      </c>
      <c r="H125" s="44">
        <f t="shared" si="79"/>
        <v>5446.9</v>
      </c>
      <c r="I125" s="44"/>
      <c r="J125" s="44"/>
      <c r="K125" s="45"/>
      <c r="L125" s="45"/>
      <c r="M125" s="45"/>
      <c r="N125" s="45"/>
      <c r="O125" s="46"/>
      <c r="P125" s="47"/>
      <c r="Q125" s="47"/>
      <c r="R125" s="44"/>
      <c r="S125" s="44"/>
    </row>
    <row r="126" spans="1:23" hidden="1" x14ac:dyDescent="0.35"/>
    <row r="127" spans="1:23" hidden="1" x14ac:dyDescent="0.35"/>
    <row r="128" spans="1:23" ht="12.75" hidden="1" customHeight="1" x14ac:dyDescent="0.35">
      <c r="A128" s="80" t="s">
        <v>13</v>
      </c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7"/>
      <c r="U128" s="8"/>
      <c r="V128" s="8"/>
      <c r="W128" s="8"/>
    </row>
    <row r="129" spans="1:23" hidden="1" x14ac:dyDescent="0.35">
      <c r="A129" s="66" t="s">
        <v>68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</row>
    <row r="130" spans="1:23" hidden="1" x14ac:dyDescent="0.35">
      <c r="A130" s="70" t="s">
        <v>38</v>
      </c>
      <c r="B130" s="76" t="s">
        <v>0</v>
      </c>
      <c r="C130" s="77"/>
      <c r="D130" s="74" t="s">
        <v>1</v>
      </c>
      <c r="E130" s="74" t="s">
        <v>16</v>
      </c>
      <c r="F130" s="74" t="s">
        <v>11</v>
      </c>
      <c r="G130" s="74" t="s">
        <v>17</v>
      </c>
      <c r="H130" s="74" t="s">
        <v>12</v>
      </c>
      <c r="I130" s="74" t="s">
        <v>18</v>
      </c>
      <c r="J130" s="74" t="s">
        <v>2</v>
      </c>
      <c r="K130" s="70" t="s">
        <v>3</v>
      </c>
      <c r="L130" s="68" t="s">
        <v>4</v>
      </c>
      <c r="M130" s="70" t="s">
        <v>5</v>
      </c>
      <c r="N130" s="70" t="s">
        <v>14</v>
      </c>
      <c r="O130" s="70" t="s">
        <v>6</v>
      </c>
      <c r="P130" s="70" t="s">
        <v>22</v>
      </c>
      <c r="Q130" s="70" t="s">
        <v>23</v>
      </c>
      <c r="R130" s="72" t="s">
        <v>19</v>
      </c>
      <c r="S130" s="73"/>
    </row>
    <row r="131" spans="1:23" hidden="1" x14ac:dyDescent="0.35">
      <c r="A131" s="71"/>
      <c r="B131" s="78"/>
      <c r="C131" s="79"/>
      <c r="D131" s="75"/>
      <c r="E131" s="75"/>
      <c r="F131" s="75"/>
      <c r="G131" s="75"/>
      <c r="H131" s="75"/>
      <c r="I131" s="75"/>
      <c r="J131" s="75"/>
      <c r="K131" s="71"/>
      <c r="L131" s="69"/>
      <c r="M131" s="71"/>
      <c r="N131" s="71"/>
      <c r="O131" s="71"/>
      <c r="P131" s="71"/>
      <c r="Q131" s="71"/>
      <c r="R131" s="48" t="s">
        <v>46</v>
      </c>
      <c r="S131" s="49" t="s">
        <v>21</v>
      </c>
    </row>
    <row r="132" spans="1:23" hidden="1" x14ac:dyDescent="0.35">
      <c r="A132" s="31" t="s">
        <v>15</v>
      </c>
      <c r="B132" s="32">
        <v>0</v>
      </c>
      <c r="C132" s="33"/>
      <c r="D132" s="51">
        <f>B132</f>
        <v>0</v>
      </c>
      <c r="E132" s="52">
        <f>F122</f>
        <v>81</v>
      </c>
      <c r="F132" s="53">
        <f>E132+D132</f>
        <v>81</v>
      </c>
      <c r="G132" s="52">
        <f>H122</f>
        <v>1900.0000000000002</v>
      </c>
      <c r="H132" s="53">
        <f>G132+D132</f>
        <v>1900.0000000000002</v>
      </c>
      <c r="I132" s="53">
        <f>J122</f>
        <v>196.4</v>
      </c>
      <c r="J132" s="53">
        <f>I132+D132</f>
        <v>196.4</v>
      </c>
      <c r="K132" s="35"/>
      <c r="L132" s="36"/>
      <c r="M132" s="31" t="s">
        <v>60</v>
      </c>
      <c r="N132" s="37">
        <v>12</v>
      </c>
      <c r="O132" s="50" t="s">
        <v>67</v>
      </c>
      <c r="P132" s="39"/>
      <c r="Q132" s="40">
        <v>0</v>
      </c>
      <c r="R132" s="41"/>
      <c r="S132" s="41"/>
    </row>
    <row r="133" spans="1:23" ht="29" hidden="1" x14ac:dyDescent="0.35">
      <c r="A133" s="31" t="s">
        <v>9</v>
      </c>
      <c r="B133" s="32">
        <v>27</v>
      </c>
      <c r="C133" s="34"/>
      <c r="D133" s="51">
        <f t="shared" ref="D133:D134" si="80">B133</f>
        <v>27</v>
      </c>
      <c r="E133" s="52">
        <f t="shared" ref="E133:E134" si="81">F123</f>
        <v>292.5</v>
      </c>
      <c r="F133" s="53">
        <f t="shared" ref="F133:F134" si="82">E133+D133</f>
        <v>319.5</v>
      </c>
      <c r="G133" s="52">
        <f t="shared" ref="G133:G134" si="83">H123</f>
        <v>1615.5</v>
      </c>
      <c r="H133" s="53">
        <f t="shared" ref="H133:H134" si="84">G133+D133</f>
        <v>1642.5</v>
      </c>
      <c r="I133" s="53">
        <f t="shared" ref="I133:I134" si="85">J123</f>
        <v>292.5</v>
      </c>
      <c r="J133" s="53">
        <f t="shared" ref="J133:J134" si="86">I133+D133</f>
        <v>319.5</v>
      </c>
      <c r="K133" s="35" t="s">
        <v>35</v>
      </c>
      <c r="L133" s="36" t="s">
        <v>33</v>
      </c>
      <c r="M133" s="31" t="s">
        <v>60</v>
      </c>
      <c r="N133" s="37">
        <v>0</v>
      </c>
      <c r="O133" s="50" t="s">
        <v>66</v>
      </c>
      <c r="P133" s="42">
        <v>0.5</v>
      </c>
      <c r="Q133" s="40">
        <v>10</v>
      </c>
      <c r="R133" s="41">
        <v>10</v>
      </c>
      <c r="S133" s="41">
        <v>20</v>
      </c>
    </row>
    <row r="134" spans="1:23" ht="29" hidden="1" x14ac:dyDescent="0.35">
      <c r="A134" s="31" t="s">
        <v>10</v>
      </c>
      <c r="B134" s="32">
        <v>24</v>
      </c>
      <c r="C134" s="34"/>
      <c r="D134" s="51">
        <f t="shared" si="80"/>
        <v>24</v>
      </c>
      <c r="E134" s="52">
        <f t="shared" si="81"/>
        <v>250.4</v>
      </c>
      <c r="F134" s="53">
        <f t="shared" si="82"/>
        <v>274.39999999999998</v>
      </c>
      <c r="G134" s="52">
        <f t="shared" si="83"/>
        <v>1931.4</v>
      </c>
      <c r="H134" s="53">
        <f t="shared" si="84"/>
        <v>1955.4</v>
      </c>
      <c r="I134" s="53">
        <f t="shared" si="85"/>
        <v>250.4</v>
      </c>
      <c r="J134" s="53">
        <f t="shared" si="86"/>
        <v>274.39999999999998</v>
      </c>
      <c r="K134" s="35" t="s">
        <v>32</v>
      </c>
      <c r="L134" s="36" t="s">
        <v>33</v>
      </c>
      <c r="M134" s="31" t="s">
        <v>60</v>
      </c>
      <c r="N134" s="37">
        <v>0</v>
      </c>
      <c r="O134" s="36" t="s">
        <v>61</v>
      </c>
      <c r="P134" s="39">
        <v>0.5</v>
      </c>
      <c r="Q134" s="40">
        <v>10</v>
      </c>
      <c r="R134" s="41">
        <v>10</v>
      </c>
      <c r="S134" s="41">
        <v>20</v>
      </c>
    </row>
    <row r="135" spans="1:23" hidden="1" x14ac:dyDescent="0.35">
      <c r="A135" s="43" t="s">
        <v>7</v>
      </c>
      <c r="B135" s="44">
        <f>SUM(B132:B134)</f>
        <v>51</v>
      </c>
      <c r="C135" s="44"/>
      <c r="D135" s="44">
        <f>SUM(D132:D134)</f>
        <v>51</v>
      </c>
      <c r="E135" s="44">
        <f t="shared" ref="E135:H135" si="87">SUM(E132:E134)</f>
        <v>623.9</v>
      </c>
      <c r="F135" s="44">
        <f t="shared" si="87"/>
        <v>674.9</v>
      </c>
      <c r="G135" s="44">
        <f t="shared" si="87"/>
        <v>5446.9</v>
      </c>
      <c r="H135" s="44">
        <f t="shared" si="87"/>
        <v>5497.9</v>
      </c>
      <c r="I135" s="44"/>
      <c r="J135" s="44"/>
      <c r="K135" s="45"/>
      <c r="L135" s="45"/>
      <c r="M135" s="45"/>
      <c r="N135" s="45"/>
      <c r="O135" s="46"/>
      <c r="P135" s="47"/>
      <c r="Q135" s="47"/>
      <c r="R135" s="44"/>
      <c r="S135" s="44"/>
    </row>
    <row r="136" spans="1:23" hidden="1" x14ac:dyDescent="0.35"/>
    <row r="137" spans="1:23" hidden="1" x14ac:dyDescent="0.35"/>
    <row r="138" spans="1:23" ht="12.75" hidden="1" customHeight="1" x14ac:dyDescent="0.35">
      <c r="A138" s="80" t="s">
        <v>13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7"/>
      <c r="U138" s="8"/>
      <c r="V138" s="8"/>
      <c r="W138" s="8"/>
    </row>
    <row r="139" spans="1:23" hidden="1" x14ac:dyDescent="0.35">
      <c r="A139" s="66" t="s">
        <v>69</v>
      </c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</row>
    <row r="140" spans="1:23" hidden="1" x14ac:dyDescent="0.35">
      <c r="A140" s="70" t="s">
        <v>38</v>
      </c>
      <c r="B140" s="76" t="s">
        <v>0</v>
      </c>
      <c r="C140" s="77"/>
      <c r="D140" s="74" t="s">
        <v>1</v>
      </c>
      <c r="E140" s="74" t="s">
        <v>16</v>
      </c>
      <c r="F140" s="74" t="s">
        <v>11</v>
      </c>
      <c r="G140" s="74" t="s">
        <v>17</v>
      </c>
      <c r="H140" s="74" t="s">
        <v>12</v>
      </c>
      <c r="I140" s="74" t="s">
        <v>18</v>
      </c>
      <c r="J140" s="74" t="s">
        <v>2</v>
      </c>
      <c r="K140" s="70" t="s">
        <v>3</v>
      </c>
      <c r="L140" s="68" t="s">
        <v>4</v>
      </c>
      <c r="M140" s="70" t="s">
        <v>5</v>
      </c>
      <c r="N140" s="70" t="s">
        <v>14</v>
      </c>
      <c r="O140" s="70" t="s">
        <v>6</v>
      </c>
      <c r="P140" s="70" t="s">
        <v>22</v>
      </c>
      <c r="Q140" s="70" t="s">
        <v>23</v>
      </c>
      <c r="R140" s="72" t="s">
        <v>19</v>
      </c>
      <c r="S140" s="73"/>
    </row>
    <row r="141" spans="1:23" hidden="1" x14ac:dyDescent="0.35">
      <c r="A141" s="71"/>
      <c r="B141" s="78"/>
      <c r="C141" s="79"/>
      <c r="D141" s="75"/>
      <c r="E141" s="75"/>
      <c r="F141" s="75"/>
      <c r="G141" s="75"/>
      <c r="H141" s="75"/>
      <c r="I141" s="75"/>
      <c r="J141" s="75"/>
      <c r="K141" s="71"/>
      <c r="L141" s="69"/>
      <c r="M141" s="71"/>
      <c r="N141" s="71"/>
      <c r="O141" s="71"/>
      <c r="P141" s="71"/>
      <c r="Q141" s="71"/>
      <c r="R141" s="48" t="s">
        <v>46</v>
      </c>
      <c r="S141" s="49" t="s">
        <v>21</v>
      </c>
    </row>
    <row r="142" spans="1:23" hidden="1" x14ac:dyDescent="0.35">
      <c r="A142" s="31" t="s">
        <v>15</v>
      </c>
      <c r="B142" s="32">
        <v>0</v>
      </c>
      <c r="C142" s="33"/>
      <c r="D142" s="51">
        <f>B142</f>
        <v>0</v>
      </c>
      <c r="E142" s="52">
        <f>F132</f>
        <v>81</v>
      </c>
      <c r="F142" s="53">
        <f>E142+D142</f>
        <v>81</v>
      </c>
      <c r="G142" s="52">
        <f>H132</f>
        <v>1900.0000000000002</v>
      </c>
      <c r="H142" s="53">
        <f>G142+D142</f>
        <v>1900.0000000000002</v>
      </c>
      <c r="I142" s="53">
        <f>J132</f>
        <v>196.4</v>
      </c>
      <c r="J142" s="53">
        <f>I142+D142</f>
        <v>196.4</v>
      </c>
      <c r="K142" s="35"/>
      <c r="L142" s="36"/>
      <c r="M142" s="31" t="s">
        <v>60</v>
      </c>
      <c r="N142" s="37">
        <v>12</v>
      </c>
      <c r="O142" s="50" t="s">
        <v>67</v>
      </c>
      <c r="P142" s="39"/>
      <c r="Q142" s="40">
        <v>0</v>
      </c>
      <c r="R142" s="41"/>
      <c r="S142" s="41"/>
    </row>
    <row r="143" spans="1:23" ht="29" hidden="1" x14ac:dyDescent="0.35">
      <c r="A143" s="31" t="s">
        <v>9</v>
      </c>
      <c r="B143" s="32">
        <v>15</v>
      </c>
      <c r="C143" s="34"/>
      <c r="D143" s="51">
        <f t="shared" ref="D143:D144" si="88">B143</f>
        <v>15</v>
      </c>
      <c r="E143" s="52">
        <f t="shared" ref="E143:E144" si="89">F133</f>
        <v>319.5</v>
      </c>
      <c r="F143" s="53">
        <f t="shared" ref="F143:F144" si="90">E143+D143</f>
        <v>334.5</v>
      </c>
      <c r="G143" s="52">
        <f t="shared" ref="G143:G144" si="91">H133</f>
        <v>1642.5</v>
      </c>
      <c r="H143" s="53">
        <f t="shared" ref="H143:H144" si="92">G143+D143</f>
        <v>1657.5</v>
      </c>
      <c r="I143" s="53">
        <f t="shared" ref="I143:I144" si="93">J133</f>
        <v>319.5</v>
      </c>
      <c r="J143" s="53">
        <f t="shared" ref="J143:J144" si="94">I143+D143</f>
        <v>334.5</v>
      </c>
      <c r="K143" s="35" t="s">
        <v>35</v>
      </c>
      <c r="L143" s="36" t="s">
        <v>33</v>
      </c>
      <c r="M143" s="31" t="s">
        <v>60</v>
      </c>
      <c r="N143" s="37">
        <v>4</v>
      </c>
      <c r="O143" s="50" t="s">
        <v>62</v>
      </c>
      <c r="P143" s="42">
        <v>0.5</v>
      </c>
      <c r="Q143" s="40">
        <v>6</v>
      </c>
      <c r="R143" s="41">
        <v>10</v>
      </c>
      <c r="S143" s="41">
        <v>20</v>
      </c>
    </row>
    <row r="144" spans="1:23" ht="29" hidden="1" x14ac:dyDescent="0.35">
      <c r="A144" s="31" t="s">
        <v>10</v>
      </c>
      <c r="B144" s="32">
        <v>24</v>
      </c>
      <c r="C144" s="34"/>
      <c r="D144" s="51">
        <f t="shared" si="88"/>
        <v>24</v>
      </c>
      <c r="E144" s="52">
        <f t="shared" si="89"/>
        <v>274.39999999999998</v>
      </c>
      <c r="F144" s="53">
        <f t="shared" si="90"/>
        <v>298.39999999999998</v>
      </c>
      <c r="G144" s="52">
        <f t="shared" si="91"/>
        <v>1955.4</v>
      </c>
      <c r="H144" s="53">
        <f t="shared" si="92"/>
        <v>1979.4</v>
      </c>
      <c r="I144" s="53">
        <f t="shared" si="93"/>
        <v>274.39999999999998</v>
      </c>
      <c r="J144" s="53">
        <f t="shared" si="94"/>
        <v>298.39999999999998</v>
      </c>
      <c r="K144" s="35" t="s">
        <v>32</v>
      </c>
      <c r="L144" s="36" t="s">
        <v>33</v>
      </c>
      <c r="M144" s="31" t="s">
        <v>60</v>
      </c>
      <c r="N144" s="37">
        <v>0</v>
      </c>
      <c r="O144" s="36" t="s">
        <v>70</v>
      </c>
      <c r="P144" s="39">
        <v>0.5</v>
      </c>
      <c r="Q144" s="40">
        <v>10</v>
      </c>
      <c r="R144" s="41">
        <v>10</v>
      </c>
      <c r="S144" s="41">
        <v>20</v>
      </c>
    </row>
    <row r="145" spans="1:19" hidden="1" x14ac:dyDescent="0.35">
      <c r="A145" s="43" t="s">
        <v>7</v>
      </c>
      <c r="B145" s="44">
        <f>SUM(B142:B144)</f>
        <v>39</v>
      </c>
      <c r="C145" s="44"/>
      <c r="D145" s="44">
        <f>SUM(D142:D144)</f>
        <v>39</v>
      </c>
      <c r="E145" s="44">
        <f t="shared" ref="E145:H145" si="95">SUM(E142:E144)</f>
        <v>674.9</v>
      </c>
      <c r="F145" s="44">
        <f t="shared" si="95"/>
        <v>713.9</v>
      </c>
      <c r="G145" s="44">
        <f t="shared" si="95"/>
        <v>5497.9</v>
      </c>
      <c r="H145" s="44">
        <f t="shared" si="95"/>
        <v>5536.9</v>
      </c>
      <c r="I145" s="44"/>
      <c r="J145" s="44"/>
      <c r="K145" s="45"/>
      <c r="L145" s="45"/>
      <c r="M145" s="45"/>
      <c r="N145" s="45"/>
      <c r="O145" s="46"/>
      <c r="P145" s="47"/>
      <c r="Q145" s="47"/>
      <c r="R145" s="44"/>
      <c r="S145" s="44"/>
    </row>
    <row r="146" spans="1:19" hidden="1" x14ac:dyDescent="0.35"/>
    <row r="147" spans="1:19" hidden="1" x14ac:dyDescent="0.35"/>
    <row r="148" spans="1:19" hidden="1" x14ac:dyDescent="0.35">
      <c r="A148" s="80" t="s">
        <v>13</v>
      </c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</row>
    <row r="149" spans="1:19" hidden="1" x14ac:dyDescent="0.35">
      <c r="A149" s="67" t="s">
        <v>71</v>
      </c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</row>
    <row r="150" spans="1:19" hidden="1" x14ac:dyDescent="0.35">
      <c r="A150" s="70" t="s">
        <v>38</v>
      </c>
      <c r="B150" s="76" t="s">
        <v>0</v>
      </c>
      <c r="C150" s="77"/>
      <c r="D150" s="74" t="s">
        <v>1</v>
      </c>
      <c r="E150" s="74" t="s">
        <v>16</v>
      </c>
      <c r="F150" s="74" t="s">
        <v>11</v>
      </c>
      <c r="G150" s="74" t="s">
        <v>17</v>
      </c>
      <c r="H150" s="74" t="s">
        <v>12</v>
      </c>
      <c r="I150" s="74" t="s">
        <v>18</v>
      </c>
      <c r="J150" s="74" t="s">
        <v>2</v>
      </c>
      <c r="K150" s="70" t="s">
        <v>3</v>
      </c>
      <c r="L150" s="68" t="s">
        <v>4</v>
      </c>
      <c r="M150" s="70" t="s">
        <v>5</v>
      </c>
      <c r="N150" s="70" t="s">
        <v>14</v>
      </c>
      <c r="O150" s="70" t="s">
        <v>6</v>
      </c>
      <c r="P150" s="70" t="s">
        <v>22</v>
      </c>
      <c r="Q150" s="70" t="s">
        <v>23</v>
      </c>
      <c r="R150" s="72" t="s">
        <v>19</v>
      </c>
      <c r="S150" s="73"/>
    </row>
    <row r="151" spans="1:19" hidden="1" x14ac:dyDescent="0.35">
      <c r="A151" s="71"/>
      <c r="B151" s="78"/>
      <c r="C151" s="79"/>
      <c r="D151" s="75"/>
      <c r="E151" s="75"/>
      <c r="F151" s="75"/>
      <c r="G151" s="75"/>
      <c r="H151" s="75"/>
      <c r="I151" s="75"/>
      <c r="J151" s="75"/>
      <c r="K151" s="71"/>
      <c r="L151" s="69"/>
      <c r="M151" s="71"/>
      <c r="N151" s="71"/>
      <c r="O151" s="71"/>
      <c r="P151" s="71"/>
      <c r="Q151" s="71"/>
      <c r="R151" s="48" t="s">
        <v>46</v>
      </c>
      <c r="S151" s="49" t="s">
        <v>21</v>
      </c>
    </row>
    <row r="152" spans="1:19" hidden="1" x14ac:dyDescent="0.35">
      <c r="A152" s="31" t="s">
        <v>15</v>
      </c>
      <c r="B152" s="32">
        <v>0</v>
      </c>
      <c r="C152" s="33"/>
      <c r="D152" s="51">
        <f>B152</f>
        <v>0</v>
      </c>
      <c r="E152" s="52">
        <f>F142</f>
        <v>81</v>
      </c>
      <c r="F152" s="53">
        <f>E152+D152</f>
        <v>81</v>
      </c>
      <c r="G152" s="52">
        <f>H142</f>
        <v>1900.0000000000002</v>
      </c>
      <c r="H152" s="53">
        <f>G152+D152</f>
        <v>1900.0000000000002</v>
      </c>
      <c r="I152" s="53">
        <f>J142</f>
        <v>196.4</v>
      </c>
      <c r="J152" s="53">
        <f>I152+D152</f>
        <v>196.4</v>
      </c>
      <c r="K152" s="35"/>
      <c r="L152" s="36"/>
      <c r="M152" s="31" t="s">
        <v>60</v>
      </c>
      <c r="N152" s="37">
        <v>12</v>
      </c>
      <c r="O152" s="50" t="s">
        <v>72</v>
      </c>
      <c r="P152" s="39"/>
      <c r="Q152" s="40">
        <v>0</v>
      </c>
      <c r="R152" s="41"/>
      <c r="S152" s="41"/>
    </row>
    <row r="153" spans="1:19" ht="29" hidden="1" x14ac:dyDescent="0.35">
      <c r="A153" s="31" t="s">
        <v>9</v>
      </c>
      <c r="B153" s="32">
        <v>12</v>
      </c>
      <c r="C153" s="34"/>
      <c r="D153" s="51">
        <f t="shared" ref="D153:D154" si="96">B153</f>
        <v>12</v>
      </c>
      <c r="E153" s="52">
        <f t="shared" ref="E153:E154" si="97">F143</f>
        <v>334.5</v>
      </c>
      <c r="F153" s="53">
        <f t="shared" ref="F153:F154" si="98">E153+D153</f>
        <v>346.5</v>
      </c>
      <c r="G153" s="52">
        <f t="shared" ref="G153:G154" si="99">H143</f>
        <v>1657.5</v>
      </c>
      <c r="H153" s="53">
        <f t="shared" ref="H153:H154" si="100">G153+D153</f>
        <v>1669.5</v>
      </c>
      <c r="I153" s="53">
        <f t="shared" ref="I153:I154" si="101">J143</f>
        <v>334.5</v>
      </c>
      <c r="J153" s="53">
        <f t="shared" ref="J153:J154" si="102">I153+D153</f>
        <v>346.5</v>
      </c>
      <c r="K153" s="35" t="s">
        <v>35</v>
      </c>
      <c r="L153" s="36" t="s">
        <v>33</v>
      </c>
      <c r="M153" s="31" t="s">
        <v>60</v>
      </c>
      <c r="N153" s="37">
        <v>0</v>
      </c>
      <c r="O153" s="50" t="s">
        <v>73</v>
      </c>
      <c r="P153" s="42">
        <v>0.5</v>
      </c>
      <c r="Q153" s="40">
        <v>10</v>
      </c>
      <c r="R153" s="41">
        <v>10</v>
      </c>
      <c r="S153" s="41">
        <v>20</v>
      </c>
    </row>
    <row r="154" spans="1:19" ht="29" hidden="1" x14ac:dyDescent="0.35">
      <c r="A154" s="31" t="s">
        <v>10</v>
      </c>
      <c r="B154" s="32">
        <v>15</v>
      </c>
      <c r="C154" s="34"/>
      <c r="D154" s="51">
        <f t="shared" si="96"/>
        <v>15</v>
      </c>
      <c r="E154" s="52">
        <f t="shared" si="97"/>
        <v>298.39999999999998</v>
      </c>
      <c r="F154" s="53">
        <f t="shared" si="98"/>
        <v>313.39999999999998</v>
      </c>
      <c r="G154" s="52">
        <f t="shared" si="99"/>
        <v>1979.4</v>
      </c>
      <c r="H154" s="53">
        <f t="shared" si="100"/>
        <v>1994.4</v>
      </c>
      <c r="I154" s="53">
        <f t="shared" si="101"/>
        <v>298.39999999999998</v>
      </c>
      <c r="J154" s="53">
        <f t="shared" si="102"/>
        <v>313.39999999999998</v>
      </c>
      <c r="K154" s="35" t="s">
        <v>32</v>
      </c>
      <c r="L154" s="36" t="s">
        <v>33</v>
      </c>
      <c r="M154" s="31" t="s">
        <v>60</v>
      </c>
      <c r="N154" s="37">
        <v>0</v>
      </c>
      <c r="O154" s="50" t="s">
        <v>74</v>
      </c>
      <c r="P154" s="39">
        <v>0.5</v>
      </c>
      <c r="Q154" s="40">
        <v>10</v>
      </c>
      <c r="R154" s="41">
        <v>10</v>
      </c>
      <c r="S154" s="41">
        <v>10</v>
      </c>
    </row>
    <row r="155" spans="1:19" hidden="1" x14ac:dyDescent="0.35">
      <c r="A155" s="43" t="s">
        <v>7</v>
      </c>
      <c r="B155" s="44">
        <f>SUM(B152:B154)</f>
        <v>27</v>
      </c>
      <c r="C155" s="44"/>
      <c r="D155" s="44">
        <f>SUM(D152:D154)</f>
        <v>27</v>
      </c>
      <c r="E155" s="44">
        <f t="shared" ref="E155:H155" si="103">SUM(E152:E154)</f>
        <v>713.9</v>
      </c>
      <c r="F155" s="44">
        <f t="shared" si="103"/>
        <v>740.9</v>
      </c>
      <c r="G155" s="44">
        <f t="shared" si="103"/>
        <v>5536.9</v>
      </c>
      <c r="H155" s="44">
        <f t="shared" si="103"/>
        <v>5563.9</v>
      </c>
      <c r="I155" s="44"/>
      <c r="J155" s="44"/>
      <c r="K155" s="45"/>
      <c r="L155" s="45"/>
      <c r="M155" s="45"/>
      <c r="N155" s="45"/>
      <c r="O155" s="46"/>
      <c r="P155" s="47"/>
      <c r="Q155" s="47"/>
      <c r="R155" s="44"/>
      <c r="S155" s="44"/>
    </row>
    <row r="156" spans="1:19" hidden="1" x14ac:dyDescent="0.35"/>
    <row r="157" spans="1:19" hidden="1" x14ac:dyDescent="0.35"/>
    <row r="158" spans="1:19" hidden="1" x14ac:dyDescent="0.35">
      <c r="A158" s="80" t="s">
        <v>13</v>
      </c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</row>
    <row r="159" spans="1:19" hidden="1" x14ac:dyDescent="0.35">
      <c r="A159" s="67" t="s">
        <v>75</v>
      </c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</row>
    <row r="160" spans="1:19" hidden="1" x14ac:dyDescent="0.35">
      <c r="A160" s="70" t="s">
        <v>38</v>
      </c>
      <c r="B160" s="76" t="s">
        <v>0</v>
      </c>
      <c r="C160" s="77"/>
      <c r="D160" s="74" t="s">
        <v>1</v>
      </c>
      <c r="E160" s="74" t="s">
        <v>16</v>
      </c>
      <c r="F160" s="74" t="s">
        <v>11</v>
      </c>
      <c r="G160" s="74" t="s">
        <v>17</v>
      </c>
      <c r="H160" s="74" t="s">
        <v>12</v>
      </c>
      <c r="I160" s="74" t="s">
        <v>18</v>
      </c>
      <c r="J160" s="74" t="s">
        <v>2</v>
      </c>
      <c r="K160" s="70" t="s">
        <v>3</v>
      </c>
      <c r="L160" s="68" t="s">
        <v>4</v>
      </c>
      <c r="M160" s="70" t="s">
        <v>5</v>
      </c>
      <c r="N160" s="70" t="s">
        <v>14</v>
      </c>
      <c r="O160" s="70" t="s">
        <v>6</v>
      </c>
      <c r="P160" s="70" t="s">
        <v>22</v>
      </c>
      <c r="Q160" s="70" t="s">
        <v>23</v>
      </c>
      <c r="R160" s="72" t="s">
        <v>19</v>
      </c>
      <c r="S160" s="73"/>
    </row>
    <row r="161" spans="1:19" hidden="1" x14ac:dyDescent="0.35">
      <c r="A161" s="71"/>
      <c r="B161" s="78"/>
      <c r="C161" s="79"/>
      <c r="D161" s="75"/>
      <c r="E161" s="75"/>
      <c r="F161" s="75"/>
      <c r="G161" s="75"/>
      <c r="H161" s="75"/>
      <c r="I161" s="75"/>
      <c r="J161" s="75"/>
      <c r="K161" s="71"/>
      <c r="L161" s="69"/>
      <c r="M161" s="71"/>
      <c r="N161" s="71"/>
      <c r="O161" s="71"/>
      <c r="P161" s="71"/>
      <c r="Q161" s="71"/>
      <c r="R161" s="48" t="s">
        <v>46</v>
      </c>
      <c r="S161" s="49" t="s">
        <v>21</v>
      </c>
    </row>
    <row r="162" spans="1:19" hidden="1" x14ac:dyDescent="0.35">
      <c r="A162" s="31" t="s">
        <v>15</v>
      </c>
      <c r="B162" s="32">
        <v>0</v>
      </c>
      <c r="C162" s="33"/>
      <c r="D162" s="51">
        <f>B162</f>
        <v>0</v>
      </c>
      <c r="E162" s="52">
        <f>F152</f>
        <v>81</v>
      </c>
      <c r="F162" s="53">
        <f>E162+D162</f>
        <v>81</v>
      </c>
      <c r="G162" s="52">
        <f>H152</f>
        <v>1900.0000000000002</v>
      </c>
      <c r="H162" s="53">
        <f>G162+D162</f>
        <v>1900.0000000000002</v>
      </c>
      <c r="I162" s="53">
        <f>J152</f>
        <v>196.4</v>
      </c>
      <c r="J162" s="53">
        <f>I162+D162</f>
        <v>196.4</v>
      </c>
      <c r="K162" s="35"/>
      <c r="L162" s="36"/>
      <c r="M162" s="31" t="s">
        <v>60</v>
      </c>
      <c r="N162" s="37">
        <v>12</v>
      </c>
      <c r="O162" s="50" t="s">
        <v>72</v>
      </c>
      <c r="P162" s="39"/>
      <c r="Q162" s="40">
        <v>0</v>
      </c>
      <c r="R162" s="41"/>
      <c r="S162" s="41"/>
    </row>
    <row r="163" spans="1:19" ht="29" hidden="1" x14ac:dyDescent="0.35">
      <c r="A163" s="31" t="s">
        <v>9</v>
      </c>
      <c r="B163" s="32">
        <v>12</v>
      </c>
      <c r="C163" s="34"/>
      <c r="D163" s="51">
        <f t="shared" ref="D163:D164" si="104">B163</f>
        <v>12</v>
      </c>
      <c r="E163" s="52">
        <f t="shared" ref="E163:E164" si="105">F153</f>
        <v>346.5</v>
      </c>
      <c r="F163" s="53">
        <f t="shared" ref="F163:F164" si="106">E163+D163</f>
        <v>358.5</v>
      </c>
      <c r="G163" s="52">
        <f t="shared" ref="G163:G164" si="107">H153</f>
        <v>1669.5</v>
      </c>
      <c r="H163" s="53">
        <f t="shared" ref="H163:H164" si="108">G163+D163</f>
        <v>1681.5</v>
      </c>
      <c r="I163" s="53">
        <f t="shared" ref="I163:I164" si="109">J153</f>
        <v>346.5</v>
      </c>
      <c r="J163" s="53">
        <f t="shared" ref="J163:J164" si="110">I163+D163</f>
        <v>358.5</v>
      </c>
      <c r="K163" s="35" t="s">
        <v>35</v>
      </c>
      <c r="L163" s="36" t="s">
        <v>33</v>
      </c>
      <c r="M163" s="31" t="s">
        <v>60</v>
      </c>
      <c r="N163" s="37">
        <v>0</v>
      </c>
      <c r="O163" s="50" t="s">
        <v>76</v>
      </c>
      <c r="P163" s="42">
        <v>0.5</v>
      </c>
      <c r="Q163" s="40">
        <v>10</v>
      </c>
      <c r="R163" s="41">
        <v>10</v>
      </c>
      <c r="S163" s="41">
        <v>20</v>
      </c>
    </row>
    <row r="164" spans="1:19" ht="29" hidden="1" x14ac:dyDescent="0.35">
      <c r="A164" s="31" t="s">
        <v>10</v>
      </c>
      <c r="B164" s="32">
        <v>15</v>
      </c>
      <c r="C164" s="34"/>
      <c r="D164" s="51">
        <f t="shared" si="104"/>
        <v>15</v>
      </c>
      <c r="E164" s="52">
        <f t="shared" si="105"/>
        <v>313.39999999999998</v>
      </c>
      <c r="F164" s="53">
        <f t="shared" si="106"/>
        <v>328.4</v>
      </c>
      <c r="G164" s="52">
        <f t="shared" si="107"/>
        <v>1994.4</v>
      </c>
      <c r="H164" s="53">
        <f t="shared" si="108"/>
        <v>2009.4</v>
      </c>
      <c r="I164" s="53">
        <f t="shared" si="109"/>
        <v>313.39999999999998</v>
      </c>
      <c r="J164" s="53">
        <f t="shared" si="110"/>
        <v>328.4</v>
      </c>
      <c r="K164" s="35" t="s">
        <v>32</v>
      </c>
      <c r="L164" s="36" t="s">
        <v>33</v>
      </c>
      <c r="M164" s="31" t="s">
        <v>60</v>
      </c>
      <c r="N164" s="37">
        <v>0</v>
      </c>
      <c r="O164" s="50" t="s">
        <v>74</v>
      </c>
      <c r="P164" s="39">
        <v>0.5</v>
      </c>
      <c r="Q164" s="40">
        <v>10</v>
      </c>
      <c r="R164" s="41">
        <v>10</v>
      </c>
      <c r="S164" s="41">
        <v>10</v>
      </c>
    </row>
    <row r="165" spans="1:19" hidden="1" x14ac:dyDescent="0.35">
      <c r="A165" s="43" t="s">
        <v>7</v>
      </c>
      <c r="B165" s="44">
        <f>SUM(B162:B164)</f>
        <v>27</v>
      </c>
      <c r="C165" s="44"/>
      <c r="D165" s="44">
        <f>SUM(D162:D164)</f>
        <v>27</v>
      </c>
      <c r="E165" s="44">
        <f t="shared" ref="E165:H165" si="111">SUM(E162:E164)</f>
        <v>740.9</v>
      </c>
      <c r="F165" s="44">
        <f t="shared" si="111"/>
        <v>767.9</v>
      </c>
      <c r="G165" s="44">
        <f t="shared" si="111"/>
        <v>5563.9</v>
      </c>
      <c r="H165" s="44">
        <f t="shared" si="111"/>
        <v>5590.9</v>
      </c>
      <c r="I165" s="44"/>
      <c r="J165" s="44"/>
      <c r="K165" s="45"/>
      <c r="L165" s="45"/>
      <c r="M165" s="45"/>
      <c r="N165" s="45"/>
      <c r="O165" s="46"/>
      <c r="P165" s="47"/>
      <c r="Q165" s="47"/>
      <c r="R165" s="44"/>
      <c r="S165" s="44"/>
    </row>
    <row r="166" spans="1:19" hidden="1" x14ac:dyDescent="0.35"/>
    <row r="167" spans="1:19" hidden="1" x14ac:dyDescent="0.35"/>
    <row r="168" spans="1:19" hidden="1" x14ac:dyDescent="0.35">
      <c r="A168" s="80" t="s">
        <v>13</v>
      </c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</row>
    <row r="169" spans="1:19" hidden="1" x14ac:dyDescent="0.35">
      <c r="A169" s="67" t="s">
        <v>77</v>
      </c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</row>
    <row r="170" spans="1:19" hidden="1" x14ac:dyDescent="0.35">
      <c r="A170" s="70" t="s">
        <v>38</v>
      </c>
      <c r="B170" s="76" t="s">
        <v>0</v>
      </c>
      <c r="C170" s="77"/>
      <c r="D170" s="74" t="s">
        <v>1</v>
      </c>
      <c r="E170" s="74" t="s">
        <v>16</v>
      </c>
      <c r="F170" s="74" t="s">
        <v>11</v>
      </c>
      <c r="G170" s="74" t="s">
        <v>17</v>
      </c>
      <c r="H170" s="74" t="s">
        <v>12</v>
      </c>
      <c r="I170" s="74" t="s">
        <v>18</v>
      </c>
      <c r="J170" s="74" t="s">
        <v>2</v>
      </c>
      <c r="K170" s="70" t="s">
        <v>3</v>
      </c>
      <c r="L170" s="68" t="s">
        <v>4</v>
      </c>
      <c r="M170" s="70" t="s">
        <v>5</v>
      </c>
      <c r="N170" s="70" t="s">
        <v>14</v>
      </c>
      <c r="O170" s="70" t="s">
        <v>6</v>
      </c>
      <c r="P170" s="70" t="s">
        <v>22</v>
      </c>
      <c r="Q170" s="70" t="s">
        <v>23</v>
      </c>
      <c r="R170" s="72" t="s">
        <v>19</v>
      </c>
      <c r="S170" s="73"/>
    </row>
    <row r="171" spans="1:19" hidden="1" x14ac:dyDescent="0.35">
      <c r="A171" s="71"/>
      <c r="B171" s="78"/>
      <c r="C171" s="79"/>
      <c r="D171" s="75"/>
      <c r="E171" s="75"/>
      <c r="F171" s="75"/>
      <c r="G171" s="75"/>
      <c r="H171" s="75"/>
      <c r="I171" s="75"/>
      <c r="J171" s="75"/>
      <c r="K171" s="71"/>
      <c r="L171" s="69"/>
      <c r="M171" s="71"/>
      <c r="N171" s="71"/>
      <c r="O171" s="71"/>
      <c r="P171" s="71"/>
      <c r="Q171" s="71"/>
      <c r="R171" s="48" t="s">
        <v>46</v>
      </c>
      <c r="S171" s="49" t="s">
        <v>21</v>
      </c>
    </row>
    <row r="172" spans="1:19" hidden="1" x14ac:dyDescent="0.35">
      <c r="A172" s="31" t="s">
        <v>15</v>
      </c>
      <c r="B172" s="32">
        <v>0</v>
      </c>
      <c r="C172" s="33"/>
      <c r="D172" s="51">
        <f>B172</f>
        <v>0</v>
      </c>
      <c r="E172" s="52">
        <f>F162</f>
        <v>81</v>
      </c>
      <c r="F172" s="53">
        <f>E172+D172</f>
        <v>81</v>
      </c>
      <c r="G172" s="52">
        <f>H162</f>
        <v>1900.0000000000002</v>
      </c>
      <c r="H172" s="53">
        <f>G172+D172</f>
        <v>1900.0000000000002</v>
      </c>
      <c r="I172" s="53">
        <f>J162</f>
        <v>196.4</v>
      </c>
      <c r="J172" s="53">
        <f>I172+D172</f>
        <v>196.4</v>
      </c>
      <c r="K172" s="35"/>
      <c r="L172" s="36"/>
      <c r="M172" s="31" t="s">
        <v>60</v>
      </c>
      <c r="N172" s="37">
        <v>12</v>
      </c>
      <c r="O172" s="50" t="s">
        <v>72</v>
      </c>
      <c r="P172" s="39"/>
      <c r="Q172" s="40">
        <v>0</v>
      </c>
      <c r="R172" s="41"/>
      <c r="S172" s="41"/>
    </row>
    <row r="173" spans="1:19" ht="29" hidden="1" x14ac:dyDescent="0.35">
      <c r="A173" s="31" t="s">
        <v>9</v>
      </c>
      <c r="B173" s="32">
        <v>9</v>
      </c>
      <c r="C173" s="34"/>
      <c r="D173" s="51">
        <f t="shared" ref="D173:D174" si="112">B173</f>
        <v>9</v>
      </c>
      <c r="E173" s="52">
        <f t="shared" ref="E173:E174" si="113">F163</f>
        <v>358.5</v>
      </c>
      <c r="F173" s="53">
        <f t="shared" ref="F173:F174" si="114">E173+D173</f>
        <v>367.5</v>
      </c>
      <c r="G173" s="52">
        <f t="shared" ref="G173:G174" si="115">H163</f>
        <v>1681.5</v>
      </c>
      <c r="H173" s="53">
        <f t="shared" ref="H173:H174" si="116">G173+D173</f>
        <v>1690.5</v>
      </c>
      <c r="I173" s="53">
        <f t="shared" ref="I173:I174" si="117">J163</f>
        <v>358.5</v>
      </c>
      <c r="J173" s="53">
        <f t="shared" ref="J173:J174" si="118">I173+D173</f>
        <v>367.5</v>
      </c>
      <c r="K173" s="35" t="s">
        <v>35</v>
      </c>
      <c r="L173" s="36" t="s">
        <v>33</v>
      </c>
      <c r="M173" s="31" t="s">
        <v>60</v>
      </c>
      <c r="N173" s="37">
        <v>4</v>
      </c>
      <c r="O173" s="50" t="s">
        <v>78</v>
      </c>
      <c r="P173" s="42">
        <v>0.5</v>
      </c>
      <c r="Q173" s="40">
        <v>6</v>
      </c>
      <c r="R173" s="41">
        <v>10</v>
      </c>
      <c r="S173" s="41">
        <v>20</v>
      </c>
    </row>
    <row r="174" spans="1:19" ht="29" hidden="1" x14ac:dyDescent="0.35">
      <c r="A174" s="31" t="s">
        <v>10</v>
      </c>
      <c r="B174" s="32">
        <v>18</v>
      </c>
      <c r="C174" s="34"/>
      <c r="D174" s="51">
        <f t="shared" si="112"/>
        <v>18</v>
      </c>
      <c r="E174" s="52">
        <f t="shared" si="113"/>
        <v>328.4</v>
      </c>
      <c r="F174" s="53">
        <f t="shared" si="114"/>
        <v>346.4</v>
      </c>
      <c r="G174" s="52">
        <f t="shared" si="115"/>
        <v>2009.4</v>
      </c>
      <c r="H174" s="53">
        <f t="shared" si="116"/>
        <v>2027.4</v>
      </c>
      <c r="I174" s="53">
        <f t="shared" si="117"/>
        <v>328.4</v>
      </c>
      <c r="J174" s="53">
        <f t="shared" si="118"/>
        <v>346.4</v>
      </c>
      <c r="K174" s="35" t="s">
        <v>32</v>
      </c>
      <c r="L174" s="36" t="s">
        <v>33</v>
      </c>
      <c r="M174" s="31" t="s">
        <v>60</v>
      </c>
      <c r="N174" s="37">
        <v>0</v>
      </c>
      <c r="O174" s="50" t="s">
        <v>74</v>
      </c>
      <c r="P174" s="39">
        <v>0.5</v>
      </c>
      <c r="Q174" s="40">
        <v>10</v>
      </c>
      <c r="R174" s="41">
        <v>10</v>
      </c>
      <c r="S174" s="41">
        <v>10</v>
      </c>
    </row>
    <row r="175" spans="1:19" hidden="1" x14ac:dyDescent="0.35">
      <c r="A175" s="43" t="s">
        <v>7</v>
      </c>
      <c r="B175" s="44">
        <f>SUM(B172:B174)</f>
        <v>27</v>
      </c>
      <c r="C175" s="44"/>
      <c r="D175" s="44">
        <f>SUM(D172:D174)</f>
        <v>27</v>
      </c>
      <c r="E175" s="44">
        <f t="shared" ref="E175:H175" si="119">SUM(E172:E174)</f>
        <v>767.9</v>
      </c>
      <c r="F175" s="44">
        <f t="shared" si="119"/>
        <v>794.9</v>
      </c>
      <c r="G175" s="44">
        <f t="shared" si="119"/>
        <v>5590.9</v>
      </c>
      <c r="H175" s="44">
        <f t="shared" si="119"/>
        <v>5617.9</v>
      </c>
      <c r="I175" s="44"/>
      <c r="J175" s="44"/>
      <c r="K175" s="45"/>
      <c r="L175" s="45"/>
      <c r="M175" s="45"/>
      <c r="N175" s="45"/>
      <c r="O175" s="46"/>
      <c r="P175" s="47"/>
      <c r="Q175" s="47"/>
      <c r="R175" s="44"/>
      <c r="S175" s="44"/>
    </row>
    <row r="176" spans="1:19" hidden="1" x14ac:dyDescent="0.35"/>
    <row r="177" spans="1:19" hidden="1" x14ac:dyDescent="0.35"/>
    <row r="178" spans="1:19" hidden="1" x14ac:dyDescent="0.35"/>
    <row r="179" spans="1:19" hidden="1" x14ac:dyDescent="0.35">
      <c r="A179" s="67" t="s">
        <v>79</v>
      </c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</row>
    <row r="180" spans="1:19" hidden="1" x14ac:dyDescent="0.35">
      <c r="A180" s="70" t="s">
        <v>38</v>
      </c>
      <c r="B180" s="76" t="s">
        <v>0</v>
      </c>
      <c r="C180" s="77"/>
      <c r="D180" s="74" t="s">
        <v>1</v>
      </c>
      <c r="E180" s="74" t="s">
        <v>16</v>
      </c>
      <c r="F180" s="74" t="s">
        <v>11</v>
      </c>
      <c r="G180" s="74" t="s">
        <v>17</v>
      </c>
      <c r="H180" s="74" t="s">
        <v>12</v>
      </c>
      <c r="I180" s="74" t="s">
        <v>18</v>
      </c>
      <c r="J180" s="74" t="s">
        <v>2</v>
      </c>
      <c r="K180" s="70" t="s">
        <v>3</v>
      </c>
      <c r="L180" s="68" t="s">
        <v>4</v>
      </c>
      <c r="M180" s="70" t="s">
        <v>5</v>
      </c>
      <c r="N180" s="70" t="s">
        <v>14</v>
      </c>
      <c r="O180" s="70" t="s">
        <v>6</v>
      </c>
      <c r="P180" s="70" t="s">
        <v>22</v>
      </c>
      <c r="Q180" s="70" t="s">
        <v>23</v>
      </c>
      <c r="R180" s="72" t="s">
        <v>19</v>
      </c>
      <c r="S180" s="73"/>
    </row>
    <row r="181" spans="1:19" hidden="1" x14ac:dyDescent="0.35">
      <c r="A181" s="71"/>
      <c r="B181" s="78"/>
      <c r="C181" s="79"/>
      <c r="D181" s="75"/>
      <c r="E181" s="75"/>
      <c r="F181" s="75"/>
      <c r="G181" s="75"/>
      <c r="H181" s="75"/>
      <c r="I181" s="75"/>
      <c r="J181" s="75"/>
      <c r="K181" s="71"/>
      <c r="L181" s="69"/>
      <c r="M181" s="71"/>
      <c r="N181" s="71"/>
      <c r="O181" s="71"/>
      <c r="P181" s="71"/>
      <c r="Q181" s="71"/>
      <c r="R181" s="48" t="s">
        <v>46</v>
      </c>
      <c r="S181" s="49" t="s">
        <v>21</v>
      </c>
    </row>
    <row r="182" spans="1:19" hidden="1" x14ac:dyDescent="0.35">
      <c r="A182" s="31" t="s">
        <v>15</v>
      </c>
      <c r="B182" s="32">
        <v>0</v>
      </c>
      <c r="C182" s="33"/>
      <c r="D182" s="51">
        <f>B182</f>
        <v>0</v>
      </c>
      <c r="E182" s="52">
        <f>F172</f>
        <v>81</v>
      </c>
      <c r="F182" s="53">
        <f>E182+D182</f>
        <v>81</v>
      </c>
      <c r="G182" s="52">
        <f>H172</f>
        <v>1900.0000000000002</v>
      </c>
      <c r="H182" s="53">
        <f>G182+D182</f>
        <v>1900.0000000000002</v>
      </c>
      <c r="I182" s="53">
        <f>J172</f>
        <v>196.4</v>
      </c>
      <c r="J182" s="53">
        <f>I182+D182</f>
        <v>196.4</v>
      </c>
      <c r="K182" s="35"/>
      <c r="L182" s="36"/>
      <c r="M182" s="31" t="s">
        <v>60</v>
      </c>
      <c r="N182" s="37">
        <v>12</v>
      </c>
      <c r="O182" s="50" t="s">
        <v>72</v>
      </c>
      <c r="P182" s="39"/>
      <c r="Q182" s="40">
        <v>0</v>
      </c>
      <c r="R182" s="41"/>
      <c r="S182" s="41"/>
    </row>
    <row r="183" spans="1:19" ht="29" hidden="1" x14ac:dyDescent="0.35">
      <c r="A183" s="31" t="s">
        <v>9</v>
      </c>
      <c r="B183" s="32">
        <v>12</v>
      </c>
      <c r="C183" s="34"/>
      <c r="D183" s="51">
        <f t="shared" ref="D183:D184" si="120">B183</f>
        <v>12</v>
      </c>
      <c r="E183" s="52">
        <f t="shared" ref="E183:E184" si="121">F173</f>
        <v>367.5</v>
      </c>
      <c r="F183" s="53">
        <f t="shared" ref="F183:F184" si="122">E183+D183</f>
        <v>379.5</v>
      </c>
      <c r="G183" s="52">
        <f t="shared" ref="G183:G184" si="123">H173</f>
        <v>1690.5</v>
      </c>
      <c r="H183" s="53">
        <f t="shared" ref="H183:H184" si="124">G183+D183</f>
        <v>1702.5</v>
      </c>
      <c r="I183" s="53">
        <f t="shared" ref="I183:I184" si="125">J173</f>
        <v>367.5</v>
      </c>
      <c r="J183" s="53">
        <f t="shared" ref="J183:J184" si="126">I183+D183</f>
        <v>379.5</v>
      </c>
      <c r="K183" s="35" t="s">
        <v>35</v>
      </c>
      <c r="L183" s="36" t="s">
        <v>33</v>
      </c>
      <c r="M183" s="31" t="s">
        <v>60</v>
      </c>
      <c r="N183" s="37">
        <v>0</v>
      </c>
      <c r="O183" s="50" t="s">
        <v>80</v>
      </c>
      <c r="P183" s="42">
        <v>0.5</v>
      </c>
      <c r="Q183" s="40">
        <v>6</v>
      </c>
      <c r="R183" s="41">
        <v>10</v>
      </c>
      <c r="S183" s="41">
        <v>10</v>
      </c>
    </row>
    <row r="184" spans="1:19" ht="29" hidden="1" x14ac:dyDescent="0.35">
      <c r="A184" s="31" t="s">
        <v>10</v>
      </c>
      <c r="B184" s="32">
        <v>15</v>
      </c>
      <c r="C184" s="34"/>
      <c r="D184" s="51">
        <f t="shared" si="120"/>
        <v>15</v>
      </c>
      <c r="E184" s="52">
        <f t="shared" si="121"/>
        <v>346.4</v>
      </c>
      <c r="F184" s="53">
        <f t="shared" si="122"/>
        <v>361.4</v>
      </c>
      <c r="G184" s="52">
        <f t="shared" si="123"/>
        <v>2027.4</v>
      </c>
      <c r="H184" s="53">
        <f t="shared" si="124"/>
        <v>2042.4</v>
      </c>
      <c r="I184" s="53">
        <f t="shared" si="125"/>
        <v>346.4</v>
      </c>
      <c r="J184" s="53">
        <f t="shared" si="126"/>
        <v>361.4</v>
      </c>
      <c r="K184" s="35" t="s">
        <v>32</v>
      </c>
      <c r="L184" s="36" t="s">
        <v>33</v>
      </c>
      <c r="M184" s="31" t="s">
        <v>60</v>
      </c>
      <c r="N184" s="37">
        <v>0</v>
      </c>
      <c r="O184" s="50" t="s">
        <v>74</v>
      </c>
      <c r="P184" s="39">
        <v>0.5</v>
      </c>
      <c r="Q184" s="40">
        <v>6</v>
      </c>
      <c r="R184" s="41"/>
      <c r="S184" s="41"/>
    </row>
    <row r="185" spans="1:19" hidden="1" x14ac:dyDescent="0.35">
      <c r="A185" s="43" t="s">
        <v>7</v>
      </c>
      <c r="B185" s="44">
        <f>SUM(B182:B184)</f>
        <v>27</v>
      </c>
      <c r="C185" s="44"/>
      <c r="D185" s="44">
        <f>SUM(D182:D184)</f>
        <v>27</v>
      </c>
      <c r="E185" s="44">
        <f t="shared" ref="E185:H185" si="127">SUM(E182:E184)</f>
        <v>794.9</v>
      </c>
      <c r="F185" s="44">
        <f t="shared" si="127"/>
        <v>821.9</v>
      </c>
      <c r="G185" s="44">
        <f t="shared" si="127"/>
        <v>5617.9</v>
      </c>
      <c r="H185" s="44">
        <f t="shared" si="127"/>
        <v>5644.9</v>
      </c>
      <c r="I185" s="44"/>
      <c r="J185" s="44"/>
      <c r="K185" s="45"/>
      <c r="L185" s="45"/>
      <c r="M185" s="45"/>
      <c r="N185" s="45"/>
      <c r="O185" s="46"/>
      <c r="P185" s="47"/>
      <c r="Q185" s="47"/>
      <c r="R185" s="44"/>
      <c r="S185" s="44"/>
    </row>
    <row r="186" spans="1:19" hidden="1" x14ac:dyDescent="0.35"/>
    <row r="187" spans="1:19" hidden="1" x14ac:dyDescent="0.35"/>
    <row r="188" spans="1:19" hidden="1" x14ac:dyDescent="0.35"/>
    <row r="189" spans="1:19" hidden="1" x14ac:dyDescent="0.35">
      <c r="A189" s="67" t="s">
        <v>83</v>
      </c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</row>
    <row r="190" spans="1:19" hidden="1" x14ac:dyDescent="0.35">
      <c r="A190" s="70" t="s">
        <v>38</v>
      </c>
      <c r="B190" s="76" t="s">
        <v>0</v>
      </c>
      <c r="C190" s="77"/>
      <c r="D190" s="74" t="s">
        <v>1</v>
      </c>
      <c r="E190" s="74" t="s">
        <v>16</v>
      </c>
      <c r="F190" s="74" t="s">
        <v>11</v>
      </c>
      <c r="G190" s="74" t="s">
        <v>17</v>
      </c>
      <c r="H190" s="74" t="s">
        <v>12</v>
      </c>
      <c r="I190" s="74" t="s">
        <v>18</v>
      </c>
      <c r="J190" s="74" t="s">
        <v>2</v>
      </c>
      <c r="K190" s="70" t="s">
        <v>3</v>
      </c>
      <c r="L190" s="68" t="s">
        <v>4</v>
      </c>
      <c r="M190" s="70" t="s">
        <v>5</v>
      </c>
      <c r="N190" s="70" t="s">
        <v>14</v>
      </c>
      <c r="O190" s="70" t="s">
        <v>6</v>
      </c>
      <c r="P190" s="70" t="s">
        <v>22</v>
      </c>
      <c r="Q190" s="70" t="s">
        <v>23</v>
      </c>
      <c r="R190" s="72" t="s">
        <v>19</v>
      </c>
      <c r="S190" s="73"/>
    </row>
    <row r="191" spans="1:19" hidden="1" x14ac:dyDescent="0.35">
      <c r="A191" s="71"/>
      <c r="B191" s="78"/>
      <c r="C191" s="79"/>
      <c r="D191" s="75"/>
      <c r="E191" s="75"/>
      <c r="F191" s="75"/>
      <c r="G191" s="75"/>
      <c r="H191" s="75"/>
      <c r="I191" s="75"/>
      <c r="J191" s="75"/>
      <c r="K191" s="71"/>
      <c r="L191" s="69"/>
      <c r="M191" s="71"/>
      <c r="N191" s="71"/>
      <c r="O191" s="71"/>
      <c r="P191" s="71"/>
      <c r="Q191" s="71"/>
      <c r="R191" s="48" t="s">
        <v>46</v>
      </c>
      <c r="S191" s="49" t="s">
        <v>21</v>
      </c>
    </row>
    <row r="192" spans="1:19" ht="29" hidden="1" x14ac:dyDescent="0.35">
      <c r="A192" s="31" t="s">
        <v>15</v>
      </c>
      <c r="B192" s="32">
        <v>0</v>
      </c>
      <c r="C192" s="33"/>
      <c r="D192" s="51">
        <f>B192</f>
        <v>0</v>
      </c>
      <c r="E192" s="52">
        <f>F182</f>
        <v>81</v>
      </c>
      <c r="F192" s="53">
        <f>E192+D192</f>
        <v>81</v>
      </c>
      <c r="G192" s="52">
        <f>H182</f>
        <v>1900.0000000000002</v>
      </c>
      <c r="H192" s="53">
        <f>G192+D192</f>
        <v>1900.0000000000002</v>
      </c>
      <c r="I192" s="53">
        <f>J182</f>
        <v>196.4</v>
      </c>
      <c r="J192" s="53">
        <f>I192+D192</f>
        <v>196.4</v>
      </c>
      <c r="K192" s="35"/>
      <c r="L192" s="36"/>
      <c r="M192" s="31" t="s">
        <v>60</v>
      </c>
      <c r="N192" s="37">
        <v>12</v>
      </c>
      <c r="O192" s="50" t="s">
        <v>81</v>
      </c>
      <c r="P192" s="39"/>
      <c r="Q192" s="40">
        <v>0</v>
      </c>
      <c r="R192" s="41"/>
      <c r="S192" s="41"/>
    </row>
    <row r="193" spans="1:19" ht="29" hidden="1" x14ac:dyDescent="0.35">
      <c r="A193" s="31" t="s">
        <v>9</v>
      </c>
      <c r="B193" s="32">
        <v>0</v>
      </c>
      <c r="C193" s="34"/>
      <c r="D193" s="51">
        <f t="shared" ref="D193:D194" si="128">B193</f>
        <v>0</v>
      </c>
      <c r="E193" s="52">
        <f t="shared" ref="E193:E194" si="129">F183</f>
        <v>379.5</v>
      </c>
      <c r="F193" s="53">
        <f t="shared" ref="F193:F194" si="130">E193+D193</f>
        <v>379.5</v>
      </c>
      <c r="G193" s="52">
        <f t="shared" ref="G193:G194" si="131">H183</f>
        <v>1702.5</v>
      </c>
      <c r="H193" s="53">
        <f t="shared" ref="H193:H194" si="132">G193+D193</f>
        <v>1702.5</v>
      </c>
      <c r="I193" s="53">
        <f t="shared" ref="I193:I194" si="133">J183</f>
        <v>379.5</v>
      </c>
      <c r="J193" s="53">
        <f t="shared" ref="J193:J194" si="134">I193+D193</f>
        <v>379.5</v>
      </c>
      <c r="K193" s="35" t="s">
        <v>35</v>
      </c>
      <c r="L193" s="36" t="s">
        <v>33</v>
      </c>
      <c r="M193" s="31" t="s">
        <v>60</v>
      </c>
      <c r="N193" s="37">
        <v>12</v>
      </c>
      <c r="O193" s="50" t="s">
        <v>82</v>
      </c>
      <c r="P193" s="42">
        <v>0.5</v>
      </c>
      <c r="Q193" s="40">
        <v>0</v>
      </c>
      <c r="R193" s="41">
        <v>20</v>
      </c>
      <c r="S193" s="41">
        <v>20</v>
      </c>
    </row>
    <row r="194" spans="1:19" ht="29" hidden="1" x14ac:dyDescent="0.35">
      <c r="A194" s="31" t="s">
        <v>10</v>
      </c>
      <c r="B194" s="32">
        <v>15</v>
      </c>
      <c r="C194" s="34"/>
      <c r="D194" s="51">
        <f t="shared" si="128"/>
        <v>15</v>
      </c>
      <c r="E194" s="52">
        <f t="shared" si="129"/>
        <v>361.4</v>
      </c>
      <c r="F194" s="53">
        <f t="shared" si="130"/>
        <v>376.4</v>
      </c>
      <c r="G194" s="52">
        <f t="shared" si="131"/>
        <v>2042.4</v>
      </c>
      <c r="H194" s="53">
        <f t="shared" si="132"/>
        <v>2057.4</v>
      </c>
      <c r="I194" s="53">
        <f t="shared" si="133"/>
        <v>361.4</v>
      </c>
      <c r="J194" s="53">
        <f t="shared" si="134"/>
        <v>376.4</v>
      </c>
      <c r="K194" s="35" t="s">
        <v>32</v>
      </c>
      <c r="L194" s="36" t="s">
        <v>33</v>
      </c>
      <c r="M194" s="31" t="s">
        <v>60</v>
      </c>
      <c r="N194" s="37">
        <v>0</v>
      </c>
      <c r="O194" s="50" t="s">
        <v>74</v>
      </c>
      <c r="P194" s="39">
        <v>0.5</v>
      </c>
      <c r="Q194" s="40">
        <v>8</v>
      </c>
      <c r="R194" s="41"/>
      <c r="S194" s="41"/>
    </row>
    <row r="195" spans="1:19" hidden="1" x14ac:dyDescent="0.35">
      <c r="A195" s="43" t="s">
        <v>7</v>
      </c>
      <c r="B195" s="44">
        <f>SUM(B192:B194)</f>
        <v>15</v>
      </c>
      <c r="C195" s="44"/>
      <c r="D195" s="44">
        <f>SUM(D192:D194)</f>
        <v>15</v>
      </c>
      <c r="E195" s="44">
        <f t="shared" ref="E195:H195" si="135">SUM(E192:E194)</f>
        <v>821.9</v>
      </c>
      <c r="F195" s="44">
        <f t="shared" si="135"/>
        <v>836.9</v>
      </c>
      <c r="G195" s="44">
        <f t="shared" si="135"/>
        <v>5644.9</v>
      </c>
      <c r="H195" s="44">
        <f t="shared" si="135"/>
        <v>5659.9</v>
      </c>
      <c r="I195" s="44"/>
      <c r="J195" s="44"/>
      <c r="K195" s="45"/>
      <c r="L195" s="45"/>
      <c r="M195" s="45"/>
      <c r="N195" s="45"/>
      <c r="O195" s="46"/>
      <c r="P195" s="47"/>
      <c r="Q195" s="47"/>
      <c r="R195" s="44"/>
      <c r="S195" s="44"/>
    </row>
    <row r="196" spans="1:19" hidden="1" x14ac:dyDescent="0.35"/>
    <row r="197" spans="1:19" hidden="1" x14ac:dyDescent="0.35"/>
    <row r="198" spans="1:19" hidden="1" x14ac:dyDescent="0.35">
      <c r="A198" s="67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</row>
    <row r="199" spans="1:19" ht="16" hidden="1" customHeight="1" x14ac:dyDescent="0.35">
      <c r="A199" s="67" t="s">
        <v>84</v>
      </c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</row>
    <row r="200" spans="1:19" ht="46.5" hidden="1" x14ac:dyDescent="0.35">
      <c r="A200" s="54" t="s">
        <v>38</v>
      </c>
      <c r="B200" s="62" t="s">
        <v>0</v>
      </c>
      <c r="C200" s="63"/>
      <c r="D200" s="58" t="s">
        <v>1</v>
      </c>
      <c r="E200" s="58" t="s">
        <v>16</v>
      </c>
      <c r="F200" s="58" t="s">
        <v>11</v>
      </c>
      <c r="G200" s="58" t="s">
        <v>17</v>
      </c>
      <c r="H200" s="58" t="s">
        <v>12</v>
      </c>
      <c r="I200" s="58" t="s">
        <v>18</v>
      </c>
      <c r="J200" s="58" t="s">
        <v>2</v>
      </c>
      <c r="K200" s="54" t="s">
        <v>3</v>
      </c>
      <c r="L200" s="60" t="s">
        <v>4</v>
      </c>
      <c r="M200" s="54" t="s">
        <v>5</v>
      </c>
      <c r="N200" s="54" t="s">
        <v>14</v>
      </c>
      <c r="O200" s="54" t="s">
        <v>6</v>
      </c>
      <c r="P200" s="54" t="s">
        <v>22</v>
      </c>
      <c r="Q200" s="54" t="s">
        <v>23</v>
      </c>
      <c r="R200" s="56" t="s">
        <v>19</v>
      </c>
      <c r="S200" s="57"/>
    </row>
    <row r="201" spans="1:19" hidden="1" x14ac:dyDescent="0.35">
      <c r="A201" s="55"/>
      <c r="B201" s="64"/>
      <c r="C201" s="65"/>
      <c r="D201" s="59"/>
      <c r="E201" s="59"/>
      <c r="F201" s="59"/>
      <c r="G201" s="59"/>
      <c r="H201" s="59"/>
      <c r="I201" s="59"/>
      <c r="J201" s="59"/>
      <c r="K201" s="55"/>
      <c r="L201" s="61"/>
      <c r="M201" s="55"/>
      <c r="N201" s="55"/>
      <c r="O201" s="55"/>
      <c r="P201" s="55"/>
      <c r="Q201" s="55"/>
      <c r="R201" s="48" t="s">
        <v>46</v>
      </c>
      <c r="S201" s="49" t="s">
        <v>21</v>
      </c>
    </row>
    <row r="202" spans="1:19" ht="29" hidden="1" x14ac:dyDescent="0.35">
      <c r="A202" s="31" t="s">
        <v>15</v>
      </c>
      <c r="B202" s="32">
        <v>0</v>
      </c>
      <c r="C202" s="33"/>
      <c r="D202" s="51">
        <f>B202</f>
        <v>0</v>
      </c>
      <c r="E202" s="52">
        <f>F192</f>
        <v>81</v>
      </c>
      <c r="F202" s="53">
        <f>E202+D202</f>
        <v>81</v>
      </c>
      <c r="G202" s="52">
        <f>H192</f>
        <v>1900.0000000000002</v>
      </c>
      <c r="H202" s="53">
        <f>G202+D202</f>
        <v>1900.0000000000002</v>
      </c>
      <c r="I202" s="53">
        <f>J192</f>
        <v>196.4</v>
      </c>
      <c r="J202" s="53">
        <f>I202+D202</f>
        <v>196.4</v>
      </c>
      <c r="K202" s="35"/>
      <c r="L202" s="50"/>
      <c r="M202" s="31" t="s">
        <v>60</v>
      </c>
      <c r="N202" s="37">
        <v>12</v>
      </c>
      <c r="O202" s="50" t="s">
        <v>87</v>
      </c>
      <c r="P202" s="39"/>
      <c r="Q202" s="40">
        <v>0</v>
      </c>
      <c r="R202" s="41"/>
      <c r="S202" s="41"/>
    </row>
    <row r="203" spans="1:19" ht="29" hidden="1" x14ac:dyDescent="0.35">
      <c r="A203" s="31" t="s">
        <v>9</v>
      </c>
      <c r="B203" s="32">
        <v>0</v>
      </c>
      <c r="C203" s="34"/>
      <c r="D203" s="51">
        <f t="shared" ref="D203:D204" si="136">B203</f>
        <v>0</v>
      </c>
      <c r="E203" s="52">
        <f t="shared" ref="E203:E204" si="137">F193</f>
        <v>379.5</v>
      </c>
      <c r="F203" s="53">
        <f t="shared" ref="F203:F204" si="138">E203+D203</f>
        <v>379.5</v>
      </c>
      <c r="G203" s="52">
        <f t="shared" ref="G203:G204" si="139">H193</f>
        <v>1702.5</v>
      </c>
      <c r="H203" s="53">
        <f t="shared" ref="H203:H204" si="140">G203+D203</f>
        <v>1702.5</v>
      </c>
      <c r="I203" s="53">
        <f t="shared" ref="I203:I204" si="141">J193</f>
        <v>379.5</v>
      </c>
      <c r="J203" s="53">
        <f t="shared" ref="J203:J204" si="142">I203+D203</f>
        <v>379.5</v>
      </c>
      <c r="K203" s="35" t="s">
        <v>35</v>
      </c>
      <c r="L203" s="36" t="s">
        <v>33</v>
      </c>
      <c r="M203" s="31" t="s">
        <v>60</v>
      </c>
      <c r="N203" s="37">
        <v>12</v>
      </c>
      <c r="O203" s="50" t="s">
        <v>85</v>
      </c>
      <c r="P203" s="42">
        <v>0.5</v>
      </c>
      <c r="Q203" s="40">
        <v>0</v>
      </c>
      <c r="R203" s="41"/>
      <c r="S203" s="41"/>
    </row>
    <row r="204" spans="1:19" ht="29" hidden="1" x14ac:dyDescent="0.35">
      <c r="A204" s="31" t="s">
        <v>10</v>
      </c>
      <c r="B204" s="32">
        <v>15</v>
      </c>
      <c r="C204" s="34"/>
      <c r="D204" s="51">
        <f t="shared" si="136"/>
        <v>15</v>
      </c>
      <c r="E204" s="52">
        <f t="shared" si="137"/>
        <v>376.4</v>
      </c>
      <c r="F204" s="53">
        <f t="shared" si="138"/>
        <v>391.4</v>
      </c>
      <c r="G204" s="52">
        <f t="shared" si="139"/>
        <v>2057.4</v>
      </c>
      <c r="H204" s="53">
        <f t="shared" si="140"/>
        <v>2072.4</v>
      </c>
      <c r="I204" s="53">
        <f t="shared" si="141"/>
        <v>376.4</v>
      </c>
      <c r="J204" s="53">
        <f t="shared" si="142"/>
        <v>391.4</v>
      </c>
      <c r="K204" s="35" t="s">
        <v>32</v>
      </c>
      <c r="L204" s="36" t="s">
        <v>33</v>
      </c>
      <c r="M204" s="31" t="s">
        <v>60</v>
      </c>
      <c r="N204" s="37">
        <v>0</v>
      </c>
      <c r="O204" s="50" t="s">
        <v>86</v>
      </c>
      <c r="P204" s="39">
        <v>0.5</v>
      </c>
      <c r="Q204" s="40">
        <v>8</v>
      </c>
      <c r="R204" s="41">
        <v>10</v>
      </c>
      <c r="S204" s="41">
        <v>20</v>
      </c>
    </row>
    <row r="205" spans="1:19" hidden="1" x14ac:dyDescent="0.35">
      <c r="A205" s="43" t="s">
        <v>7</v>
      </c>
      <c r="B205" s="44">
        <f>SUM(B202:B204)</f>
        <v>15</v>
      </c>
      <c r="C205" s="44"/>
      <c r="D205" s="44">
        <f>SUM(D202:D204)</f>
        <v>15</v>
      </c>
      <c r="E205" s="44">
        <f t="shared" ref="E205:H205" si="143">SUM(E202:E204)</f>
        <v>836.9</v>
      </c>
      <c r="F205" s="44">
        <f t="shared" si="143"/>
        <v>851.9</v>
      </c>
      <c r="G205" s="44">
        <f t="shared" si="143"/>
        <v>5659.9</v>
      </c>
      <c r="H205" s="44">
        <f t="shared" si="143"/>
        <v>5674.9</v>
      </c>
      <c r="I205" s="44"/>
      <c r="J205" s="44"/>
      <c r="K205" s="45"/>
      <c r="L205" s="45"/>
      <c r="M205" s="45"/>
      <c r="N205" s="45"/>
      <c r="O205" s="46"/>
      <c r="P205" s="47"/>
      <c r="Q205" s="47"/>
      <c r="R205" s="44"/>
      <c r="S205" s="44"/>
    </row>
    <row r="206" spans="1:19" hidden="1" x14ac:dyDescent="0.35"/>
    <row r="207" spans="1:19" hidden="1" x14ac:dyDescent="0.35"/>
    <row r="208" spans="1:19" hidden="1" x14ac:dyDescent="0.35"/>
    <row r="209" spans="1:19" hidden="1" x14ac:dyDescent="0.35">
      <c r="A209" s="67" t="s">
        <v>91</v>
      </c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</row>
    <row r="210" spans="1:19" ht="46.5" hidden="1" x14ac:dyDescent="0.35">
      <c r="A210" s="54" t="s">
        <v>38</v>
      </c>
      <c r="B210" s="62" t="s">
        <v>0</v>
      </c>
      <c r="C210" s="63"/>
      <c r="D210" s="58" t="s">
        <v>1</v>
      </c>
      <c r="E210" s="58" t="s">
        <v>16</v>
      </c>
      <c r="F210" s="58" t="s">
        <v>11</v>
      </c>
      <c r="G210" s="58" t="s">
        <v>17</v>
      </c>
      <c r="H210" s="58" t="s">
        <v>12</v>
      </c>
      <c r="I210" s="58" t="s">
        <v>18</v>
      </c>
      <c r="J210" s="58" t="s">
        <v>2</v>
      </c>
      <c r="K210" s="54" t="s">
        <v>3</v>
      </c>
      <c r="L210" s="60" t="s">
        <v>4</v>
      </c>
      <c r="M210" s="54" t="s">
        <v>5</v>
      </c>
      <c r="N210" s="54" t="s">
        <v>14</v>
      </c>
      <c r="O210" s="54" t="s">
        <v>6</v>
      </c>
      <c r="P210" s="54" t="s">
        <v>22</v>
      </c>
      <c r="Q210" s="54" t="s">
        <v>23</v>
      </c>
      <c r="R210" s="56" t="s">
        <v>19</v>
      </c>
      <c r="S210" s="57"/>
    </row>
    <row r="211" spans="1:19" hidden="1" x14ac:dyDescent="0.35">
      <c r="A211" s="55"/>
      <c r="B211" s="64"/>
      <c r="C211" s="65"/>
      <c r="D211" s="59"/>
      <c r="E211" s="59"/>
      <c r="F211" s="59"/>
      <c r="G211" s="59"/>
      <c r="H211" s="59"/>
      <c r="I211" s="59"/>
      <c r="J211" s="59"/>
      <c r="K211" s="55"/>
      <c r="L211" s="61"/>
      <c r="M211" s="55"/>
      <c r="N211" s="55"/>
      <c r="O211" s="55"/>
      <c r="P211" s="55"/>
      <c r="Q211" s="55"/>
      <c r="R211" s="48" t="s">
        <v>46</v>
      </c>
      <c r="S211" s="49" t="s">
        <v>21</v>
      </c>
    </row>
    <row r="212" spans="1:19" ht="43.5" hidden="1" x14ac:dyDescent="0.35">
      <c r="A212" s="31" t="s">
        <v>15</v>
      </c>
      <c r="B212" s="32">
        <v>0</v>
      </c>
      <c r="C212" s="33"/>
      <c r="D212" s="51">
        <f>B212</f>
        <v>0</v>
      </c>
      <c r="E212" s="52">
        <f>F202</f>
        <v>81</v>
      </c>
      <c r="F212" s="53">
        <f>E212+D212</f>
        <v>81</v>
      </c>
      <c r="G212" s="52">
        <f>H202</f>
        <v>1900.0000000000002</v>
      </c>
      <c r="H212" s="53">
        <f>G212+D212</f>
        <v>1900.0000000000002</v>
      </c>
      <c r="I212" s="53">
        <f>J202</f>
        <v>196.4</v>
      </c>
      <c r="J212" s="53">
        <f>I212+D212</f>
        <v>196.4</v>
      </c>
      <c r="K212" s="35"/>
      <c r="L212" s="50"/>
      <c r="M212" s="31" t="s">
        <v>60</v>
      </c>
      <c r="N212" s="37"/>
      <c r="O212" s="50" t="s">
        <v>88</v>
      </c>
      <c r="P212" s="39">
        <v>0.5</v>
      </c>
      <c r="Q212" s="40">
        <v>8</v>
      </c>
      <c r="R212" s="41"/>
      <c r="S212" s="41"/>
    </row>
    <row r="213" spans="1:19" ht="43.5" hidden="1" x14ac:dyDescent="0.35">
      <c r="A213" s="31" t="s">
        <v>9</v>
      </c>
      <c r="B213" s="32">
        <v>0</v>
      </c>
      <c r="C213" s="34"/>
      <c r="D213" s="51">
        <f t="shared" ref="D213:D214" si="144">B213</f>
        <v>0</v>
      </c>
      <c r="E213" s="52">
        <f t="shared" ref="E213:E214" si="145">F203</f>
        <v>379.5</v>
      </c>
      <c r="F213" s="53">
        <f t="shared" ref="F213:F214" si="146">E213+D213</f>
        <v>379.5</v>
      </c>
      <c r="G213" s="52">
        <f t="shared" ref="G213:G214" si="147">H203</f>
        <v>1702.5</v>
      </c>
      <c r="H213" s="53">
        <f t="shared" ref="H213:H214" si="148">G213+D213</f>
        <v>1702.5</v>
      </c>
      <c r="I213" s="53">
        <f t="shared" ref="I213:I214" si="149">J203</f>
        <v>379.5</v>
      </c>
      <c r="J213" s="53">
        <f t="shared" ref="J213:J214" si="150">I213+D213</f>
        <v>379.5</v>
      </c>
      <c r="K213" s="35" t="s">
        <v>35</v>
      </c>
      <c r="L213" s="36" t="s">
        <v>33</v>
      </c>
      <c r="M213" s="31" t="s">
        <v>60</v>
      </c>
      <c r="N213" s="37"/>
      <c r="O213" s="50" t="s">
        <v>89</v>
      </c>
      <c r="P213" s="42">
        <v>0.5</v>
      </c>
      <c r="Q213" s="40">
        <v>0</v>
      </c>
      <c r="R213" s="41"/>
      <c r="S213" s="41"/>
    </row>
    <row r="214" spans="1:19" ht="43.5" hidden="1" x14ac:dyDescent="0.35">
      <c r="A214" s="31" t="s">
        <v>10</v>
      </c>
      <c r="B214" s="32">
        <v>12</v>
      </c>
      <c r="C214" s="34"/>
      <c r="D214" s="51">
        <f t="shared" si="144"/>
        <v>12</v>
      </c>
      <c r="E214" s="52">
        <f t="shared" si="145"/>
        <v>391.4</v>
      </c>
      <c r="F214" s="53">
        <f t="shared" si="146"/>
        <v>403.4</v>
      </c>
      <c r="G214" s="52">
        <f t="shared" si="147"/>
        <v>2072.4</v>
      </c>
      <c r="H214" s="53">
        <f t="shared" si="148"/>
        <v>2084.4</v>
      </c>
      <c r="I214" s="53">
        <f t="shared" si="149"/>
        <v>391.4</v>
      </c>
      <c r="J214" s="53">
        <f t="shared" si="150"/>
        <v>403.4</v>
      </c>
      <c r="K214" s="35" t="s">
        <v>32</v>
      </c>
      <c r="L214" s="36" t="s">
        <v>33</v>
      </c>
      <c r="M214" s="31" t="s">
        <v>60</v>
      </c>
      <c r="N214" s="37">
        <v>0</v>
      </c>
      <c r="O214" s="50" t="s">
        <v>90</v>
      </c>
      <c r="P214" s="39">
        <v>0.5</v>
      </c>
      <c r="Q214" s="40">
        <v>8</v>
      </c>
      <c r="R214" s="41"/>
      <c r="S214" s="41"/>
    </row>
    <row r="215" spans="1:19" hidden="1" x14ac:dyDescent="0.35">
      <c r="A215" s="43" t="s">
        <v>7</v>
      </c>
      <c r="B215" s="44">
        <f>SUM(B212:B214)</f>
        <v>12</v>
      </c>
      <c r="C215" s="44"/>
      <c r="D215" s="44">
        <f>SUM(D212:D214)</f>
        <v>12</v>
      </c>
      <c r="E215" s="44">
        <f t="shared" ref="E215:H215" si="151">SUM(E212:E214)</f>
        <v>851.9</v>
      </c>
      <c r="F215" s="44">
        <f t="shared" si="151"/>
        <v>863.9</v>
      </c>
      <c r="G215" s="44">
        <f t="shared" si="151"/>
        <v>5674.9</v>
      </c>
      <c r="H215" s="44">
        <f t="shared" si="151"/>
        <v>5686.9</v>
      </c>
      <c r="I215" s="44"/>
      <c r="J215" s="44"/>
      <c r="K215" s="45"/>
      <c r="L215" s="45"/>
      <c r="M215" s="45"/>
      <c r="N215" s="45"/>
      <c r="O215" s="46"/>
      <c r="P215" s="47"/>
      <c r="Q215" s="47"/>
      <c r="R215" s="44"/>
      <c r="S215" s="44"/>
    </row>
    <row r="216" spans="1:19" hidden="1" x14ac:dyDescent="0.35"/>
    <row r="217" spans="1:19" hidden="1" x14ac:dyDescent="0.35"/>
    <row r="218" spans="1:19" hidden="1" x14ac:dyDescent="0.35"/>
    <row r="219" spans="1:19" hidden="1" x14ac:dyDescent="0.35">
      <c r="A219" s="66" t="s">
        <v>95</v>
      </c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</row>
    <row r="220" spans="1:19" ht="46.5" hidden="1" x14ac:dyDescent="0.35">
      <c r="A220" s="54" t="s">
        <v>38</v>
      </c>
      <c r="B220" s="62" t="s">
        <v>0</v>
      </c>
      <c r="C220" s="63"/>
      <c r="D220" s="58" t="s">
        <v>1</v>
      </c>
      <c r="E220" s="58" t="s">
        <v>16</v>
      </c>
      <c r="F220" s="58" t="s">
        <v>11</v>
      </c>
      <c r="G220" s="58" t="s">
        <v>17</v>
      </c>
      <c r="H220" s="58" t="s">
        <v>12</v>
      </c>
      <c r="I220" s="58" t="s">
        <v>18</v>
      </c>
      <c r="J220" s="58" t="s">
        <v>2</v>
      </c>
      <c r="K220" s="54" t="s">
        <v>3</v>
      </c>
      <c r="L220" s="60" t="s">
        <v>4</v>
      </c>
      <c r="M220" s="54" t="s">
        <v>5</v>
      </c>
      <c r="N220" s="54" t="s">
        <v>14</v>
      </c>
      <c r="O220" s="54" t="s">
        <v>6</v>
      </c>
      <c r="P220" s="54" t="s">
        <v>22</v>
      </c>
      <c r="Q220" s="54" t="s">
        <v>23</v>
      </c>
      <c r="R220" s="56" t="s">
        <v>19</v>
      </c>
      <c r="S220" s="57"/>
    </row>
    <row r="221" spans="1:19" hidden="1" x14ac:dyDescent="0.35">
      <c r="A221" s="55"/>
      <c r="B221" s="64"/>
      <c r="C221" s="65"/>
      <c r="D221" s="59"/>
      <c r="E221" s="59"/>
      <c r="F221" s="59"/>
      <c r="G221" s="59"/>
      <c r="H221" s="59"/>
      <c r="I221" s="59"/>
      <c r="J221" s="59"/>
      <c r="K221" s="55"/>
      <c r="L221" s="61"/>
      <c r="M221" s="55"/>
      <c r="N221" s="55"/>
      <c r="O221" s="55"/>
      <c r="P221" s="55"/>
      <c r="Q221" s="55"/>
      <c r="R221" s="48" t="s">
        <v>46</v>
      </c>
      <c r="S221" s="49" t="s">
        <v>21</v>
      </c>
    </row>
    <row r="222" spans="1:19" ht="29" hidden="1" x14ac:dyDescent="0.35">
      <c r="A222" s="31" t="s">
        <v>15</v>
      </c>
      <c r="B222" s="32">
        <v>0</v>
      </c>
      <c r="C222" s="33"/>
      <c r="D222" s="51">
        <f>B222</f>
        <v>0</v>
      </c>
      <c r="E222" s="52">
        <f>F212</f>
        <v>81</v>
      </c>
      <c r="F222" s="53">
        <f>E222+D222</f>
        <v>81</v>
      </c>
      <c r="G222" s="52">
        <f>H212</f>
        <v>1900.0000000000002</v>
      </c>
      <c r="H222" s="53">
        <f>G222+D222</f>
        <v>1900.0000000000002</v>
      </c>
      <c r="I222" s="53">
        <f>J212</f>
        <v>196.4</v>
      </c>
      <c r="J222" s="53">
        <f>I222+D222</f>
        <v>196.4</v>
      </c>
      <c r="K222" s="35"/>
      <c r="L222" s="50"/>
      <c r="M222" s="31" t="s">
        <v>60</v>
      </c>
      <c r="N222" s="37"/>
      <c r="O222" s="36" t="s">
        <v>92</v>
      </c>
      <c r="P222" s="39">
        <v>0.5</v>
      </c>
      <c r="Q222" s="40">
        <v>8</v>
      </c>
      <c r="R222" s="41"/>
      <c r="S222" s="41"/>
    </row>
    <row r="223" spans="1:19" ht="87" hidden="1" x14ac:dyDescent="0.35">
      <c r="A223" s="31" t="s">
        <v>9</v>
      </c>
      <c r="B223" s="32">
        <v>0</v>
      </c>
      <c r="C223" s="34"/>
      <c r="D223" s="51">
        <f t="shared" ref="D223:D224" si="152">B223</f>
        <v>0</v>
      </c>
      <c r="E223" s="52">
        <f t="shared" ref="E223:E224" si="153">F213</f>
        <v>379.5</v>
      </c>
      <c r="F223" s="53">
        <f t="shared" ref="F223:F224" si="154">E223+D223</f>
        <v>379.5</v>
      </c>
      <c r="G223" s="52">
        <f t="shared" ref="G223:G224" si="155">H213</f>
        <v>1702.5</v>
      </c>
      <c r="H223" s="53">
        <f t="shared" ref="H223:H224" si="156">G223+D223</f>
        <v>1702.5</v>
      </c>
      <c r="I223" s="53">
        <f t="shared" ref="I223:I224" si="157">J213</f>
        <v>379.5</v>
      </c>
      <c r="J223" s="53">
        <f t="shared" ref="J223:J224" si="158">I223+D223</f>
        <v>379.5</v>
      </c>
      <c r="K223" s="35" t="s">
        <v>35</v>
      </c>
      <c r="L223" s="36" t="s">
        <v>33</v>
      </c>
      <c r="M223" s="31" t="s">
        <v>60</v>
      </c>
      <c r="N223" s="37">
        <v>10</v>
      </c>
      <c r="O223" s="36" t="s">
        <v>93</v>
      </c>
      <c r="P223" s="42">
        <v>0.5</v>
      </c>
      <c r="Q223" s="40">
        <v>0</v>
      </c>
      <c r="R223" s="41">
        <v>20</v>
      </c>
      <c r="S223" s="41">
        <v>20</v>
      </c>
    </row>
    <row r="224" spans="1:19" ht="29" hidden="1" x14ac:dyDescent="0.35">
      <c r="A224" s="31" t="s">
        <v>10</v>
      </c>
      <c r="B224" s="32">
        <v>12</v>
      </c>
      <c r="C224" s="34"/>
      <c r="D224" s="51">
        <f t="shared" si="152"/>
        <v>12</v>
      </c>
      <c r="E224" s="52">
        <f t="shared" si="153"/>
        <v>403.4</v>
      </c>
      <c r="F224" s="53">
        <f t="shared" si="154"/>
        <v>415.4</v>
      </c>
      <c r="G224" s="52">
        <f t="shared" si="155"/>
        <v>2084.4</v>
      </c>
      <c r="H224" s="53">
        <f t="shared" si="156"/>
        <v>2096.4</v>
      </c>
      <c r="I224" s="53">
        <f t="shared" si="157"/>
        <v>403.4</v>
      </c>
      <c r="J224" s="53">
        <f t="shared" si="158"/>
        <v>415.4</v>
      </c>
      <c r="K224" s="35" t="s">
        <v>32</v>
      </c>
      <c r="L224" s="36" t="s">
        <v>33</v>
      </c>
      <c r="M224" s="31" t="s">
        <v>60</v>
      </c>
      <c r="N224" s="37">
        <v>0</v>
      </c>
      <c r="O224" s="36" t="s">
        <v>94</v>
      </c>
      <c r="P224" s="39">
        <v>0.5</v>
      </c>
      <c r="Q224" s="40">
        <v>8</v>
      </c>
      <c r="R224" s="41">
        <v>10</v>
      </c>
      <c r="S224" s="41">
        <v>20</v>
      </c>
    </row>
    <row r="225" spans="1:19" hidden="1" x14ac:dyDescent="0.35">
      <c r="A225" s="43" t="s">
        <v>7</v>
      </c>
      <c r="B225" s="44">
        <f>SUM(B222:B224)</f>
        <v>12</v>
      </c>
      <c r="C225" s="44"/>
      <c r="D225" s="44">
        <f>SUM(D222:D224)</f>
        <v>12</v>
      </c>
      <c r="E225" s="44">
        <f t="shared" ref="E225:H225" si="159">SUM(E222:E224)</f>
        <v>863.9</v>
      </c>
      <c r="F225" s="44">
        <f t="shared" si="159"/>
        <v>875.9</v>
      </c>
      <c r="G225" s="44">
        <f t="shared" si="159"/>
        <v>5686.9</v>
      </c>
      <c r="H225" s="44">
        <f t="shared" si="159"/>
        <v>5698.9</v>
      </c>
      <c r="I225" s="44"/>
      <c r="J225" s="44"/>
      <c r="K225" s="45"/>
      <c r="L225" s="45"/>
      <c r="M225" s="45"/>
      <c r="N225" s="45"/>
      <c r="O225" s="46"/>
      <c r="P225" s="47"/>
      <c r="Q225" s="47"/>
      <c r="R225" s="44"/>
      <c r="S225" s="44"/>
    </row>
    <row r="226" spans="1:19" hidden="1" x14ac:dyDescent="0.35"/>
    <row r="227" spans="1:19" hidden="1" x14ac:dyDescent="0.35"/>
    <row r="228" spans="1:19" hidden="1" x14ac:dyDescent="0.35"/>
    <row r="229" spans="1:19" hidden="1" x14ac:dyDescent="0.35">
      <c r="A229" s="66" t="s">
        <v>96</v>
      </c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</row>
    <row r="230" spans="1:19" ht="46.5" hidden="1" x14ac:dyDescent="0.35">
      <c r="A230" s="54" t="s">
        <v>38</v>
      </c>
      <c r="B230" s="62" t="s">
        <v>0</v>
      </c>
      <c r="C230" s="63"/>
      <c r="D230" s="58" t="s">
        <v>1</v>
      </c>
      <c r="E230" s="58" t="s">
        <v>16</v>
      </c>
      <c r="F230" s="58" t="s">
        <v>11</v>
      </c>
      <c r="G230" s="58" t="s">
        <v>17</v>
      </c>
      <c r="H230" s="58" t="s">
        <v>12</v>
      </c>
      <c r="I230" s="58" t="s">
        <v>18</v>
      </c>
      <c r="J230" s="58" t="s">
        <v>2</v>
      </c>
      <c r="K230" s="54" t="s">
        <v>3</v>
      </c>
      <c r="L230" s="60" t="s">
        <v>4</v>
      </c>
      <c r="M230" s="54" t="s">
        <v>5</v>
      </c>
      <c r="N230" s="54" t="s">
        <v>14</v>
      </c>
      <c r="O230" s="54" t="s">
        <v>6</v>
      </c>
      <c r="P230" s="54" t="s">
        <v>22</v>
      </c>
      <c r="Q230" s="54" t="s">
        <v>23</v>
      </c>
      <c r="R230" s="56" t="s">
        <v>19</v>
      </c>
      <c r="S230" s="57"/>
    </row>
    <row r="231" spans="1:19" hidden="1" x14ac:dyDescent="0.35">
      <c r="A231" s="55"/>
      <c r="B231" s="64"/>
      <c r="C231" s="65"/>
      <c r="D231" s="59"/>
      <c r="E231" s="59"/>
      <c r="F231" s="59"/>
      <c r="G231" s="59"/>
      <c r="H231" s="59"/>
      <c r="I231" s="59"/>
      <c r="J231" s="59"/>
      <c r="K231" s="55"/>
      <c r="L231" s="61"/>
      <c r="M231" s="55"/>
      <c r="N231" s="55"/>
      <c r="O231" s="55"/>
      <c r="P231" s="55"/>
      <c r="Q231" s="55"/>
      <c r="R231" s="48" t="s">
        <v>46</v>
      </c>
      <c r="S231" s="49" t="s">
        <v>21</v>
      </c>
    </row>
    <row r="232" spans="1:19" hidden="1" x14ac:dyDescent="0.35">
      <c r="A232" s="31" t="s">
        <v>15</v>
      </c>
      <c r="B232" s="32">
        <v>7.4</v>
      </c>
      <c r="C232" s="33"/>
      <c r="D232" s="51">
        <f>B232</f>
        <v>7.4</v>
      </c>
      <c r="E232" s="52">
        <f>F222</f>
        <v>81</v>
      </c>
      <c r="F232" s="53">
        <f>E232+D232</f>
        <v>88.4</v>
      </c>
      <c r="G232" s="52">
        <f>H222</f>
        <v>1900.0000000000002</v>
      </c>
      <c r="H232" s="53">
        <f>G232+D232</f>
        <v>1907.4000000000003</v>
      </c>
      <c r="I232" s="53">
        <f>J222</f>
        <v>196.4</v>
      </c>
      <c r="J232" s="53">
        <v>7.4</v>
      </c>
      <c r="K232" s="35" t="s">
        <v>98</v>
      </c>
      <c r="L232" s="36" t="s">
        <v>99</v>
      </c>
      <c r="M232" s="31" t="s">
        <v>60</v>
      </c>
      <c r="N232" s="37">
        <v>4</v>
      </c>
      <c r="O232" s="36" t="s">
        <v>97</v>
      </c>
      <c r="P232" s="39">
        <v>0.5</v>
      </c>
      <c r="Q232" s="40">
        <v>6</v>
      </c>
      <c r="R232" s="41">
        <v>10</v>
      </c>
      <c r="S232" s="41">
        <v>20</v>
      </c>
    </row>
    <row r="233" spans="1:19" ht="87" hidden="1" x14ac:dyDescent="0.35">
      <c r="A233" s="31" t="s">
        <v>9</v>
      </c>
      <c r="B233" s="32">
        <v>0</v>
      </c>
      <c r="C233" s="34"/>
      <c r="D233" s="51">
        <f t="shared" ref="D233:D234" si="160">B233</f>
        <v>0</v>
      </c>
      <c r="E233" s="52">
        <f t="shared" ref="E233:E234" si="161">F223</f>
        <v>379.5</v>
      </c>
      <c r="F233" s="53">
        <f t="shared" ref="F233:F234" si="162">E233+D233</f>
        <v>379.5</v>
      </c>
      <c r="G233" s="52">
        <f t="shared" ref="G233:G234" si="163">H223</f>
        <v>1702.5</v>
      </c>
      <c r="H233" s="53">
        <f t="shared" ref="H233:H234" si="164">G233+D233</f>
        <v>1702.5</v>
      </c>
      <c r="I233" s="53">
        <f t="shared" ref="I233:I234" si="165">J223</f>
        <v>379.5</v>
      </c>
      <c r="J233" s="53">
        <f t="shared" ref="J233:J234" si="166">I233+D233</f>
        <v>379.5</v>
      </c>
      <c r="K233" s="35" t="s">
        <v>35</v>
      </c>
      <c r="L233" s="36" t="s">
        <v>33</v>
      </c>
      <c r="M233" s="31" t="s">
        <v>60</v>
      </c>
      <c r="N233" s="37">
        <v>10</v>
      </c>
      <c r="O233" s="36" t="s">
        <v>93</v>
      </c>
      <c r="P233" s="42">
        <v>0.5</v>
      </c>
      <c r="Q233" s="40">
        <v>0</v>
      </c>
      <c r="R233" s="41">
        <v>10</v>
      </c>
      <c r="S233" s="41">
        <v>20</v>
      </c>
    </row>
    <row r="234" spans="1:19" ht="29" hidden="1" x14ac:dyDescent="0.35">
      <c r="A234" s="31" t="s">
        <v>10</v>
      </c>
      <c r="B234" s="32">
        <v>9</v>
      </c>
      <c r="C234" s="34"/>
      <c r="D234" s="51">
        <f t="shared" si="160"/>
        <v>9</v>
      </c>
      <c r="E234" s="52">
        <f t="shared" si="161"/>
        <v>415.4</v>
      </c>
      <c r="F234" s="53">
        <f t="shared" si="162"/>
        <v>424.4</v>
      </c>
      <c r="G234" s="52">
        <f t="shared" si="163"/>
        <v>2096.4</v>
      </c>
      <c r="H234" s="53">
        <f t="shared" si="164"/>
        <v>2105.4</v>
      </c>
      <c r="I234" s="53">
        <f t="shared" si="165"/>
        <v>415.4</v>
      </c>
      <c r="J234" s="53">
        <f t="shared" si="166"/>
        <v>424.4</v>
      </c>
      <c r="K234" s="35" t="s">
        <v>32</v>
      </c>
      <c r="L234" s="36" t="s">
        <v>33</v>
      </c>
      <c r="M234" s="31" t="s">
        <v>60</v>
      </c>
      <c r="N234" s="37">
        <v>2</v>
      </c>
      <c r="O234" s="36" t="s">
        <v>94</v>
      </c>
      <c r="P234" s="39">
        <v>0.5</v>
      </c>
      <c r="Q234" s="40">
        <v>8</v>
      </c>
      <c r="R234" s="41">
        <v>10</v>
      </c>
      <c r="S234" s="41">
        <v>20</v>
      </c>
    </row>
    <row r="235" spans="1:19" hidden="1" x14ac:dyDescent="0.35">
      <c r="A235" s="43" t="s">
        <v>7</v>
      </c>
      <c r="B235" s="44">
        <f>SUM(B232:B234)</f>
        <v>16.399999999999999</v>
      </c>
      <c r="C235" s="44"/>
      <c r="D235" s="44">
        <f>SUM(D232:D234)</f>
        <v>16.399999999999999</v>
      </c>
      <c r="E235" s="44">
        <f t="shared" ref="E235:H235" si="167">SUM(E232:E234)</f>
        <v>875.9</v>
      </c>
      <c r="F235" s="44">
        <f t="shared" si="167"/>
        <v>892.3</v>
      </c>
      <c r="G235" s="44">
        <f t="shared" si="167"/>
        <v>5698.9</v>
      </c>
      <c r="H235" s="44">
        <f t="shared" si="167"/>
        <v>5715.3000000000011</v>
      </c>
      <c r="I235" s="44"/>
      <c r="J235" s="44"/>
      <c r="K235" s="45"/>
      <c r="L235" s="45"/>
      <c r="M235" s="45"/>
      <c r="N235" s="45"/>
      <c r="O235" s="46"/>
      <c r="P235" s="47"/>
      <c r="Q235" s="47"/>
      <c r="R235" s="44"/>
      <c r="S235" s="44"/>
    </row>
    <row r="236" spans="1:19" hidden="1" x14ac:dyDescent="0.35"/>
    <row r="237" spans="1:19" hidden="1" x14ac:dyDescent="0.35"/>
    <row r="238" spans="1:19" hidden="1" x14ac:dyDescent="0.35"/>
    <row r="239" spans="1:19" x14ac:dyDescent="0.35">
      <c r="A239" s="66" t="s">
        <v>100</v>
      </c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</row>
    <row r="240" spans="1:19" ht="46.5" x14ac:dyDescent="0.35">
      <c r="A240" s="54" t="s">
        <v>38</v>
      </c>
      <c r="B240" s="62" t="s">
        <v>0</v>
      </c>
      <c r="C240" s="63"/>
      <c r="D240" s="58" t="s">
        <v>1</v>
      </c>
      <c r="E240" s="58" t="s">
        <v>16</v>
      </c>
      <c r="F240" s="58" t="s">
        <v>11</v>
      </c>
      <c r="G240" s="58" t="s">
        <v>17</v>
      </c>
      <c r="H240" s="58" t="s">
        <v>12</v>
      </c>
      <c r="I240" s="58" t="s">
        <v>18</v>
      </c>
      <c r="J240" s="58" t="s">
        <v>2</v>
      </c>
      <c r="K240" s="54" t="s">
        <v>3</v>
      </c>
      <c r="L240" s="60" t="s">
        <v>4</v>
      </c>
      <c r="M240" s="54" t="s">
        <v>5</v>
      </c>
      <c r="N240" s="54" t="s">
        <v>14</v>
      </c>
      <c r="O240" s="54" t="s">
        <v>6</v>
      </c>
      <c r="P240" s="54" t="s">
        <v>22</v>
      </c>
      <c r="Q240" s="54" t="s">
        <v>23</v>
      </c>
      <c r="R240" s="56" t="s">
        <v>19</v>
      </c>
      <c r="S240" s="57"/>
    </row>
    <row r="241" spans="1:19" x14ac:dyDescent="0.35">
      <c r="A241" s="55"/>
      <c r="B241" s="64"/>
      <c r="C241" s="65"/>
      <c r="D241" s="59"/>
      <c r="E241" s="59"/>
      <c r="F241" s="59"/>
      <c r="G241" s="59"/>
      <c r="H241" s="59"/>
      <c r="I241" s="59"/>
      <c r="J241" s="59"/>
      <c r="K241" s="55"/>
      <c r="L241" s="61"/>
      <c r="M241" s="55"/>
      <c r="N241" s="55"/>
      <c r="O241" s="55"/>
      <c r="P241" s="55"/>
      <c r="Q241" s="55"/>
      <c r="R241" s="48" t="s">
        <v>46</v>
      </c>
      <c r="S241" s="49" t="s">
        <v>21</v>
      </c>
    </row>
    <row r="242" spans="1:19" x14ac:dyDescent="0.35">
      <c r="A242" s="31" t="s">
        <v>15</v>
      </c>
      <c r="B242" s="32">
        <v>9</v>
      </c>
      <c r="C242" s="33"/>
      <c r="D242" s="51">
        <f>B242</f>
        <v>9</v>
      </c>
      <c r="E242" s="52">
        <f>F232</f>
        <v>88.4</v>
      </c>
      <c r="F242" s="53">
        <f>E242+D242</f>
        <v>97.4</v>
      </c>
      <c r="G242" s="52">
        <f>H232</f>
        <v>1907.4000000000003</v>
      </c>
      <c r="H242" s="53">
        <f>G242+D242</f>
        <v>1916.4000000000003</v>
      </c>
      <c r="I242" s="53">
        <f>J232</f>
        <v>7.4</v>
      </c>
      <c r="J242" s="53">
        <f>D242+J232</f>
        <v>16.399999999999999</v>
      </c>
      <c r="K242" s="35" t="s">
        <v>98</v>
      </c>
      <c r="L242" s="36" t="s">
        <v>99</v>
      </c>
      <c r="M242" s="31" t="s">
        <v>60</v>
      </c>
      <c r="N242" s="37">
        <v>4</v>
      </c>
      <c r="O242" s="36" t="s">
        <v>102</v>
      </c>
      <c r="P242" s="39">
        <v>0.5</v>
      </c>
      <c r="Q242" s="40">
        <v>6</v>
      </c>
      <c r="R242" s="41">
        <v>10</v>
      </c>
      <c r="S242" s="41">
        <v>20</v>
      </c>
    </row>
    <row r="243" spans="1:19" ht="87" x14ac:dyDescent="0.35">
      <c r="A243" s="31" t="s">
        <v>9</v>
      </c>
      <c r="B243" s="32">
        <v>0</v>
      </c>
      <c r="C243" s="34"/>
      <c r="D243" s="51">
        <f t="shared" ref="D243:D244" si="168">B243</f>
        <v>0</v>
      </c>
      <c r="E243" s="52">
        <f t="shared" ref="E243:E244" si="169">F233</f>
        <v>379.5</v>
      </c>
      <c r="F243" s="53">
        <f t="shared" ref="F243:F244" si="170">E243+D243</f>
        <v>379.5</v>
      </c>
      <c r="G243" s="52">
        <f t="shared" ref="G243:G244" si="171">H233</f>
        <v>1702.5</v>
      </c>
      <c r="H243" s="53">
        <f t="shared" ref="H243:H244" si="172">G243+D243</f>
        <v>1702.5</v>
      </c>
      <c r="I243" s="53">
        <f t="shared" ref="I243:I244" si="173">J233</f>
        <v>379.5</v>
      </c>
      <c r="J243" s="53">
        <f t="shared" ref="J243:J244" si="174">I243+D243</f>
        <v>379.5</v>
      </c>
      <c r="K243" s="35" t="s">
        <v>35</v>
      </c>
      <c r="L243" s="36" t="s">
        <v>33</v>
      </c>
      <c r="M243" s="31" t="s">
        <v>60</v>
      </c>
      <c r="N243" s="37">
        <v>10</v>
      </c>
      <c r="O243" s="36" t="s">
        <v>93</v>
      </c>
      <c r="P243" s="42">
        <v>0.5</v>
      </c>
      <c r="Q243" s="40">
        <v>0</v>
      </c>
      <c r="R243" s="41">
        <v>10</v>
      </c>
      <c r="S243" s="41">
        <v>20</v>
      </c>
    </row>
    <row r="244" spans="1:19" ht="29" x14ac:dyDescent="0.35">
      <c r="A244" s="31" t="s">
        <v>10</v>
      </c>
      <c r="B244" s="32">
        <v>9</v>
      </c>
      <c r="C244" s="34"/>
      <c r="D244" s="51">
        <f t="shared" si="168"/>
        <v>9</v>
      </c>
      <c r="E244" s="52">
        <f t="shared" si="169"/>
        <v>424.4</v>
      </c>
      <c r="F244" s="53">
        <f t="shared" si="170"/>
        <v>433.4</v>
      </c>
      <c r="G244" s="52">
        <f t="shared" si="171"/>
        <v>2105.4</v>
      </c>
      <c r="H244" s="53">
        <f t="shared" si="172"/>
        <v>2114.4</v>
      </c>
      <c r="I244" s="53">
        <f t="shared" si="173"/>
        <v>424.4</v>
      </c>
      <c r="J244" s="53">
        <f t="shared" si="174"/>
        <v>433.4</v>
      </c>
      <c r="K244" s="35" t="s">
        <v>32</v>
      </c>
      <c r="L244" s="36" t="s">
        <v>33</v>
      </c>
      <c r="M244" s="31" t="s">
        <v>60</v>
      </c>
      <c r="N244" s="37"/>
      <c r="O244" s="36" t="s">
        <v>101</v>
      </c>
      <c r="P244" s="39">
        <v>0.5</v>
      </c>
      <c r="Q244" s="40">
        <v>8</v>
      </c>
      <c r="R244" s="41">
        <v>10</v>
      </c>
      <c r="S244" s="41">
        <v>20</v>
      </c>
    </row>
    <row r="245" spans="1:19" x14ac:dyDescent="0.35">
      <c r="A245" s="43" t="s">
        <v>7</v>
      </c>
      <c r="B245" s="44">
        <f>SUM(B242:B244)</f>
        <v>18</v>
      </c>
      <c r="C245" s="44"/>
      <c r="D245" s="44">
        <f>SUM(D242:D244)</f>
        <v>18</v>
      </c>
      <c r="E245" s="44">
        <f t="shared" ref="E245:H245" si="175">SUM(E242:E244)</f>
        <v>892.3</v>
      </c>
      <c r="F245" s="44">
        <f t="shared" si="175"/>
        <v>910.3</v>
      </c>
      <c r="G245" s="44">
        <f t="shared" si="175"/>
        <v>5715.3000000000011</v>
      </c>
      <c r="H245" s="44">
        <f t="shared" si="175"/>
        <v>5733.3000000000011</v>
      </c>
      <c r="I245" s="44"/>
      <c r="J245" s="44"/>
      <c r="K245" s="45"/>
      <c r="L245" s="45"/>
      <c r="M245" s="45"/>
      <c r="N245" s="45"/>
      <c r="O245" s="46"/>
      <c r="P245" s="47"/>
      <c r="Q245" s="47"/>
      <c r="R245" s="44"/>
      <c r="S245" s="44"/>
    </row>
  </sheetData>
  <mergeCells count="444">
    <mergeCell ref="A239:S239"/>
    <mergeCell ref="A190:A191"/>
    <mergeCell ref="B190:C191"/>
    <mergeCell ref="D190:D191"/>
    <mergeCell ref="E190:E191"/>
    <mergeCell ref="N150:N151"/>
    <mergeCell ref="O150:O151"/>
    <mergeCell ref="P150:P151"/>
    <mergeCell ref="Q150:Q151"/>
    <mergeCell ref="R150:S150"/>
    <mergeCell ref="J150:J151"/>
    <mergeCell ref="K150:K151"/>
    <mergeCell ref="L150:L151"/>
    <mergeCell ref="M150:M151"/>
    <mergeCell ref="R160:S160"/>
    <mergeCell ref="N160:N161"/>
    <mergeCell ref="O160:O161"/>
    <mergeCell ref="P160:P161"/>
    <mergeCell ref="Q160:Q161"/>
    <mergeCell ref="P180:P181"/>
    <mergeCell ref="Q180:Q181"/>
    <mergeCell ref="A138:S138"/>
    <mergeCell ref="A139:S139"/>
    <mergeCell ref="A140:A141"/>
    <mergeCell ref="B140:C141"/>
    <mergeCell ref="G180:G181"/>
    <mergeCell ref="A149:S149"/>
    <mergeCell ref="A168:S168"/>
    <mergeCell ref="A169:S169"/>
    <mergeCell ref="A170:A171"/>
    <mergeCell ref="B170:C171"/>
    <mergeCell ref="D170:D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R170:S170"/>
    <mergeCell ref="Q170:Q171"/>
    <mergeCell ref="A128:S128"/>
    <mergeCell ref="A129:S129"/>
    <mergeCell ref="A130:A131"/>
    <mergeCell ref="B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S130"/>
    <mergeCell ref="M140:M141"/>
    <mergeCell ref="N140:N141"/>
    <mergeCell ref="O140:O141"/>
    <mergeCell ref="P140:P141"/>
    <mergeCell ref="A108:S108"/>
    <mergeCell ref="A118:S118"/>
    <mergeCell ref="A119:S119"/>
    <mergeCell ref="A120:A121"/>
    <mergeCell ref="B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S120"/>
    <mergeCell ref="A109:S109"/>
    <mergeCell ref="A110:A111"/>
    <mergeCell ref="B110:C111"/>
    <mergeCell ref="D110:D111"/>
    <mergeCell ref="AF100:AF101"/>
    <mergeCell ref="T100:T101"/>
    <mergeCell ref="U100:U101"/>
    <mergeCell ref="Y100:Y101"/>
    <mergeCell ref="Z100:Z101"/>
    <mergeCell ref="AA100:AA101"/>
    <mergeCell ref="AB100:AB101"/>
    <mergeCell ref="AC100:AC101"/>
    <mergeCell ref="AD100:AD101"/>
    <mergeCell ref="AE100:AE101"/>
    <mergeCell ref="A98:S98"/>
    <mergeCell ref="A99:S99"/>
    <mergeCell ref="A100:A101"/>
    <mergeCell ref="B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S100"/>
    <mergeCell ref="A79:S79"/>
    <mergeCell ref="K70:K71"/>
    <mergeCell ref="AE70:AE71"/>
    <mergeCell ref="AA60:AA61"/>
    <mergeCell ref="A48:S48"/>
    <mergeCell ref="O20:O21"/>
    <mergeCell ref="A39:S39"/>
    <mergeCell ref="G60:G61"/>
    <mergeCell ref="E60:E61"/>
    <mergeCell ref="A59:S59"/>
    <mergeCell ref="H60:H61"/>
    <mergeCell ref="A49:S49"/>
    <mergeCell ref="U50:U51"/>
    <mergeCell ref="L50:L51"/>
    <mergeCell ref="I50:I51"/>
    <mergeCell ref="H50:H51"/>
    <mergeCell ref="K50:K51"/>
    <mergeCell ref="N50:N51"/>
    <mergeCell ref="A78:S78"/>
    <mergeCell ref="U70:U71"/>
    <mergeCell ref="J70:J71"/>
    <mergeCell ref="Z70:Z71"/>
    <mergeCell ref="AE60:AE61"/>
    <mergeCell ref="Q70:Q71"/>
    <mergeCell ref="AF50:AF51"/>
    <mergeCell ref="AD70:AD71"/>
    <mergeCell ref="AF60:AF61"/>
    <mergeCell ref="A70:A71"/>
    <mergeCell ref="P70:P71"/>
    <mergeCell ref="R50:S50"/>
    <mergeCell ref="M60:M61"/>
    <mergeCell ref="Q60:Q61"/>
    <mergeCell ref="P60:P61"/>
    <mergeCell ref="M70:M71"/>
    <mergeCell ref="AF70:AF71"/>
    <mergeCell ref="AB60:AB61"/>
    <mergeCell ref="AC70:AC71"/>
    <mergeCell ref="F70:F71"/>
    <mergeCell ref="B70:C71"/>
    <mergeCell ref="I70:I71"/>
    <mergeCell ref="A68:S68"/>
    <mergeCell ref="Z60:Z61"/>
    <mergeCell ref="Y70:Y71"/>
    <mergeCell ref="H70:H71"/>
    <mergeCell ref="A9:S9"/>
    <mergeCell ref="R30:S30"/>
    <mergeCell ref="R21:S21"/>
    <mergeCell ref="A40:A41"/>
    <mergeCell ref="B2:C2"/>
    <mergeCell ref="Y20:Y21"/>
    <mergeCell ref="I20:I21"/>
    <mergeCell ref="M20:M21"/>
    <mergeCell ref="K60:K61"/>
    <mergeCell ref="G20:G21"/>
    <mergeCell ref="Y30:Y31"/>
    <mergeCell ref="B20:C21"/>
    <mergeCell ref="M50:M51"/>
    <mergeCell ref="F60:F61"/>
    <mergeCell ref="P20:P21"/>
    <mergeCell ref="N60:N61"/>
    <mergeCell ref="Y60:Y61"/>
    <mergeCell ref="T60:T61"/>
    <mergeCell ref="R60:S60"/>
    <mergeCell ref="E30:E31"/>
    <mergeCell ref="U60:U61"/>
    <mergeCell ref="D60:D61"/>
    <mergeCell ref="O60:O61"/>
    <mergeCell ref="A60:A61"/>
    <mergeCell ref="AA20:AA21"/>
    <mergeCell ref="AA50:AA51"/>
    <mergeCell ref="AB50:AB51"/>
    <mergeCell ref="Q50:Q51"/>
    <mergeCell ref="E40:E41"/>
    <mergeCell ref="A1:S1"/>
    <mergeCell ref="A50:A51"/>
    <mergeCell ref="AE50:AE51"/>
    <mergeCell ref="AD50:AD51"/>
    <mergeCell ref="P50:P51"/>
    <mergeCell ref="A30:A31"/>
    <mergeCell ref="O30:O31"/>
    <mergeCell ref="P40:P41"/>
    <mergeCell ref="E50:E51"/>
    <mergeCell ref="Z30:Z31"/>
    <mergeCell ref="T30:T31"/>
    <mergeCell ref="B40:C41"/>
    <mergeCell ref="M30:M31"/>
    <mergeCell ref="K40:K41"/>
    <mergeCell ref="L30:L31"/>
    <mergeCell ref="B30:C31"/>
    <mergeCell ref="A20:A21"/>
    <mergeCell ref="A10:S10"/>
    <mergeCell ref="D30:D31"/>
    <mergeCell ref="A18:S18"/>
    <mergeCell ref="A19:S19"/>
    <mergeCell ref="J30:J31"/>
    <mergeCell ref="F40:F41"/>
    <mergeCell ref="AE40:AE41"/>
    <mergeCell ref="AD40:AD41"/>
    <mergeCell ref="N40:N41"/>
    <mergeCell ref="L40:L41"/>
    <mergeCell ref="AF20:AF21"/>
    <mergeCell ref="AE30:AE31"/>
    <mergeCell ref="T20:T21"/>
    <mergeCell ref="AA30:AA31"/>
    <mergeCell ref="Q20:Q21"/>
    <mergeCell ref="R31:S31"/>
    <mergeCell ref="N30:N31"/>
    <mergeCell ref="H30:H31"/>
    <mergeCell ref="I30:I31"/>
    <mergeCell ref="Z20:Z21"/>
    <mergeCell ref="G30:G31"/>
    <mergeCell ref="I40:I41"/>
    <mergeCell ref="AF30:AF31"/>
    <mergeCell ref="N20:N21"/>
    <mergeCell ref="R20:S20"/>
    <mergeCell ref="U20:U21"/>
    <mergeCell ref="K30:K31"/>
    <mergeCell ref="R40:S40"/>
    <mergeCell ref="Q30:Q31"/>
    <mergeCell ref="AD60:AD61"/>
    <mergeCell ref="N70:N71"/>
    <mergeCell ref="T80:T81"/>
    <mergeCell ref="L70:L71"/>
    <mergeCell ref="D80:D81"/>
    <mergeCell ref="AC80:AC81"/>
    <mergeCell ref="R41:S41"/>
    <mergeCell ref="I60:I61"/>
    <mergeCell ref="O80:O81"/>
    <mergeCell ref="G40:G41"/>
    <mergeCell ref="M40:M41"/>
    <mergeCell ref="O40:O41"/>
    <mergeCell ref="U40:U41"/>
    <mergeCell ref="G50:G51"/>
    <mergeCell ref="O50:O51"/>
    <mergeCell ref="H40:H41"/>
    <mergeCell ref="Q40:Q41"/>
    <mergeCell ref="U30:U31"/>
    <mergeCell ref="AA70:AA71"/>
    <mergeCell ref="G70:G71"/>
    <mergeCell ref="D70:D71"/>
    <mergeCell ref="AF80:AF81"/>
    <mergeCell ref="F80:F81"/>
    <mergeCell ref="Z80:Z81"/>
    <mergeCell ref="AD80:AD81"/>
    <mergeCell ref="G80:G81"/>
    <mergeCell ref="H80:H81"/>
    <mergeCell ref="U80:U81"/>
    <mergeCell ref="M80:M81"/>
    <mergeCell ref="K80:K81"/>
    <mergeCell ref="N80:N81"/>
    <mergeCell ref="L80:L81"/>
    <mergeCell ref="Q80:Q81"/>
    <mergeCell ref="Y80:Y81"/>
    <mergeCell ref="J80:J81"/>
    <mergeCell ref="AE80:AE81"/>
    <mergeCell ref="AB80:AB81"/>
    <mergeCell ref="AA80:AA81"/>
    <mergeCell ref="I80:I81"/>
    <mergeCell ref="P80:P81"/>
    <mergeCell ref="AD30:AD31"/>
    <mergeCell ref="AF40:AF41"/>
    <mergeCell ref="B60:C61"/>
    <mergeCell ref="AB70:AB71"/>
    <mergeCell ref="AD20:AD21"/>
    <mergeCell ref="AC40:AC41"/>
    <mergeCell ref="AC30:AC31"/>
    <mergeCell ref="B11:C11"/>
    <mergeCell ref="D50:D51"/>
    <mergeCell ref="AB30:AB31"/>
    <mergeCell ref="J60:J61"/>
    <mergeCell ref="Y40:Y41"/>
    <mergeCell ref="E70:E71"/>
    <mergeCell ref="T70:T71"/>
    <mergeCell ref="B50:C51"/>
    <mergeCell ref="AC20:AC21"/>
    <mergeCell ref="J50:J51"/>
    <mergeCell ref="R70:S70"/>
    <mergeCell ref="Z50:Z51"/>
    <mergeCell ref="T50:T51"/>
    <mergeCell ref="AC50:AC51"/>
    <mergeCell ref="AC60:AC61"/>
    <mergeCell ref="A69:S69"/>
    <mergeCell ref="A58:S58"/>
    <mergeCell ref="Z90:Z91"/>
    <mergeCell ref="AA90:AA91"/>
    <mergeCell ref="A89:S89"/>
    <mergeCell ref="A88:S88"/>
    <mergeCell ref="R80:S80"/>
    <mergeCell ref="Y50:Y51"/>
    <mergeCell ref="AB20:AB21"/>
    <mergeCell ref="D20:D21"/>
    <mergeCell ref="K20:K21"/>
    <mergeCell ref="J20:J21"/>
    <mergeCell ref="F30:F31"/>
    <mergeCell ref="H20:H21"/>
    <mergeCell ref="E80:E81"/>
    <mergeCell ref="B80:C81"/>
    <mergeCell ref="P30:P31"/>
    <mergeCell ref="J40:J41"/>
    <mergeCell ref="F50:F51"/>
    <mergeCell ref="AB40:AB41"/>
    <mergeCell ref="L60:L61"/>
    <mergeCell ref="A38:S38"/>
    <mergeCell ref="Z40:Z41"/>
    <mergeCell ref="A80:A81"/>
    <mergeCell ref="D40:D41"/>
    <mergeCell ref="O70:O71"/>
    <mergeCell ref="M90:M91"/>
    <mergeCell ref="N90:N91"/>
    <mergeCell ref="O90:O91"/>
    <mergeCell ref="P90:P91"/>
    <mergeCell ref="Q90:Q91"/>
    <mergeCell ref="R90:S90"/>
    <mergeCell ref="T90:T91"/>
    <mergeCell ref="U90:U91"/>
    <mergeCell ref="Y90:Y91"/>
    <mergeCell ref="AB90:AB91"/>
    <mergeCell ref="AC90:AC91"/>
    <mergeCell ref="AD90:AD91"/>
    <mergeCell ref="AE90:AE91"/>
    <mergeCell ref="AF90:AF91"/>
    <mergeCell ref="AE20:AE21"/>
    <mergeCell ref="L20:L21"/>
    <mergeCell ref="F20:F21"/>
    <mergeCell ref="E20:E21"/>
    <mergeCell ref="A28:S28"/>
    <mergeCell ref="A29:S29"/>
    <mergeCell ref="AA40:AA41"/>
    <mergeCell ref="T40:T41"/>
    <mergeCell ref="A90:A91"/>
    <mergeCell ref="B90:C91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N110:N111"/>
    <mergeCell ref="O110:O111"/>
    <mergeCell ref="P110:P111"/>
    <mergeCell ref="Q110:Q111"/>
    <mergeCell ref="R110:S110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Q140:Q141"/>
    <mergeCell ref="R140:S140"/>
    <mergeCell ref="A148:S148"/>
    <mergeCell ref="A150:A151"/>
    <mergeCell ref="B150:C151"/>
    <mergeCell ref="D150:D15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I150:I151"/>
    <mergeCell ref="E150:E151"/>
    <mergeCell ref="F150:F151"/>
    <mergeCell ref="G150:G151"/>
    <mergeCell ref="H150:H151"/>
    <mergeCell ref="A179:S179"/>
    <mergeCell ref="A180:A181"/>
    <mergeCell ref="B180:C181"/>
    <mergeCell ref="D180:D181"/>
    <mergeCell ref="E180:E181"/>
    <mergeCell ref="F180:F181"/>
    <mergeCell ref="A158:S158"/>
    <mergeCell ref="A159:S159"/>
    <mergeCell ref="A160:A161"/>
    <mergeCell ref="B160:C161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H180:H181"/>
    <mergeCell ref="I180:I181"/>
    <mergeCell ref="J180:J181"/>
    <mergeCell ref="K180:K181"/>
    <mergeCell ref="A229:S229"/>
    <mergeCell ref="A199:S199"/>
    <mergeCell ref="L180:L181"/>
    <mergeCell ref="M180:M181"/>
    <mergeCell ref="N180:N181"/>
    <mergeCell ref="O180:O181"/>
    <mergeCell ref="A198:S198"/>
    <mergeCell ref="O190:O191"/>
    <mergeCell ref="P190:P191"/>
    <mergeCell ref="Q190:Q191"/>
    <mergeCell ref="R190:S190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R180:S180"/>
    <mergeCell ref="A219:S219"/>
    <mergeCell ref="A209:S209"/>
    <mergeCell ref="A189:S189"/>
  </mergeCells>
  <conditionalFormatting sqref="W1:W1048576">
    <cfRule type="cellIs" dxfId="0" priority="1" operator="greaterThan">
      <formula>0</formula>
    </cfRule>
  </conditionalFormatting>
  <printOptions horizontalCentered="1" verticalCentered="1"/>
  <pageMargins left="0" right="0" top="0" bottom="0" header="0" footer="0"/>
  <pageSetup paperSize="8"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RAMIT MITRA</dc:creator>
  <cp:lastModifiedBy>shekharsable3108@outlook.com</cp:lastModifiedBy>
  <dcterms:created xsi:type="dcterms:W3CDTF">2022-12-15T21:31:53Z</dcterms:created>
  <dcterms:modified xsi:type="dcterms:W3CDTF">2026-07-25T15:48:08Z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37ed83066c9046e2bec6493d813a8217</vt:lpwstr>
  </property>
</Properties>
</file>